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522" codeName="{AE6600E7-7A62-396C-DE95-9942FA9DD81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264ad2e4dd337b8a/Portfolio/vbaExcel/VALIDADOR/"/>
    </mc:Choice>
  </mc:AlternateContent>
  <xr:revisionPtr revIDLastSave="24" documentId="11_E35B4A76AAC65148FB770C8F24162B054DBC9CA1" xr6:coauthVersionLast="47" xr6:coauthVersionMax="47" xr10:uidLastSave="{843F9C02-4AFC-4DD3-8E3A-7378B84ABABC}"/>
  <bookViews>
    <workbookView xWindow="-120" yWindow="-120" windowWidth="23310" windowHeight="13740" xr2:uid="{00000000-000D-0000-FFFF-FFFF00000000}"/>
  </bookViews>
  <sheets>
    <sheet name="Home" sheetId="1" r:id="rId1"/>
    <sheet name="Planilha1" sheetId="5" r:id="rId2"/>
    <sheet name="AUX" sheetId="4" r:id="rId3"/>
  </sheets>
  <functionGroups builtInGroupCount="19"/>
  <definedNames>
    <definedName name="DEF_ANO">AUX!$C$1:$C$13</definedName>
    <definedName name="DEF_COL">Home!$AL$7</definedName>
    <definedName name="DEF_DATA">Home!$K$19</definedName>
    <definedName name="DEF_DIA">AUX!$A$1:$A$32</definedName>
    <definedName name="DEF_DUP">Home!$AC$7</definedName>
    <definedName name="DEF_EXP">Home!$T$8</definedName>
    <definedName name="DEF_MES">AUX!$B$1:$B$13</definedName>
    <definedName name="DEF_NUL">Home!$AL$10</definedName>
    <definedName name="DEF_PRE">AUX!$B$19</definedName>
    <definedName name="DEF_REF">AUX!$B$18</definedName>
    <definedName name="DEF_SQL">Home!$T$9</definedName>
    <definedName name="DEF_TAM">Home!$AL$9</definedName>
    <definedName name="DEF_TIP">Home!$AL$8</definedName>
    <definedName name="DEF_TMP">Home!$T$10</definedName>
    <definedName name="DEF_UNI">Home!$AC$8</definedName>
    <definedName name="DEF_VAL">Home!$T$7</definedName>
    <definedName name="SEL_ANO">AUX!$C$16</definedName>
    <definedName name="SEL_DIA">AUX!$C$17</definedName>
    <definedName name="SEL_MES">AUX!$B$16</definedName>
  </definedName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" i="1" l="1"/>
  <c r="R270" i="5" l="1"/>
  <c r="Q270" i="5"/>
  <c r="P270" i="5"/>
  <c r="O270" i="5"/>
  <c r="N270" i="5"/>
  <c r="R269" i="5"/>
  <c r="Q269" i="5"/>
  <c r="P269" i="5"/>
  <c r="O269" i="5"/>
  <c r="N269" i="5"/>
  <c r="R268" i="5"/>
  <c r="Q268" i="5"/>
  <c r="P268" i="5"/>
  <c r="O268" i="5"/>
  <c r="N268" i="5"/>
  <c r="R267" i="5"/>
  <c r="Q267" i="5"/>
  <c r="P267" i="5"/>
  <c r="O267" i="5"/>
  <c r="N267" i="5"/>
  <c r="R266" i="5"/>
  <c r="Q266" i="5"/>
  <c r="P266" i="5"/>
  <c r="O266" i="5"/>
  <c r="N266" i="5"/>
  <c r="R265" i="5"/>
  <c r="Q265" i="5"/>
  <c r="P265" i="5"/>
  <c r="O265" i="5"/>
  <c r="N265" i="5"/>
  <c r="S265" i="5" s="1"/>
  <c r="R264" i="5"/>
  <c r="Q264" i="5"/>
  <c r="P264" i="5"/>
  <c r="O264" i="5"/>
  <c r="N264" i="5"/>
  <c r="R263" i="5"/>
  <c r="Q263" i="5"/>
  <c r="P263" i="5"/>
  <c r="O263" i="5"/>
  <c r="N263" i="5"/>
  <c r="R262" i="5"/>
  <c r="Q262" i="5"/>
  <c r="P262" i="5"/>
  <c r="O262" i="5"/>
  <c r="N262" i="5"/>
  <c r="R261" i="5"/>
  <c r="Q261" i="5"/>
  <c r="P261" i="5"/>
  <c r="O261" i="5"/>
  <c r="N261" i="5"/>
  <c r="S261" i="5" s="1"/>
  <c r="R260" i="5"/>
  <c r="Q260" i="5"/>
  <c r="P260" i="5"/>
  <c r="O260" i="5"/>
  <c r="N260" i="5"/>
  <c r="R259" i="5"/>
  <c r="Q259" i="5"/>
  <c r="P259" i="5"/>
  <c r="O259" i="5"/>
  <c r="N259" i="5"/>
  <c r="R258" i="5"/>
  <c r="Q258" i="5"/>
  <c r="P258" i="5"/>
  <c r="O258" i="5"/>
  <c r="N258" i="5"/>
  <c r="R257" i="5"/>
  <c r="Q257" i="5"/>
  <c r="P257" i="5"/>
  <c r="O257" i="5"/>
  <c r="N257" i="5"/>
  <c r="S257" i="5" s="1"/>
  <c r="R256" i="5"/>
  <c r="Q256" i="5"/>
  <c r="P256" i="5"/>
  <c r="O256" i="5"/>
  <c r="N256" i="5"/>
  <c r="R255" i="5"/>
  <c r="Q255" i="5"/>
  <c r="P255" i="5"/>
  <c r="O255" i="5"/>
  <c r="N255" i="5"/>
  <c r="R254" i="5"/>
  <c r="Q254" i="5"/>
  <c r="P254" i="5"/>
  <c r="O254" i="5"/>
  <c r="N254" i="5"/>
  <c r="R245" i="5"/>
  <c r="Q245" i="5"/>
  <c r="P245" i="5"/>
  <c r="O245" i="5"/>
  <c r="N245" i="5"/>
  <c r="S245" i="5" s="1"/>
  <c r="R244" i="5"/>
  <c r="Q244" i="5"/>
  <c r="P244" i="5"/>
  <c r="O244" i="5"/>
  <c r="N244" i="5"/>
  <c r="R243" i="5"/>
  <c r="Q243" i="5"/>
  <c r="P243" i="5"/>
  <c r="O243" i="5"/>
  <c r="N243" i="5"/>
  <c r="R242" i="5"/>
  <c r="Q242" i="5"/>
  <c r="P242" i="5"/>
  <c r="O242" i="5"/>
  <c r="N242" i="5"/>
  <c r="R241" i="5"/>
  <c r="Q241" i="5"/>
  <c r="P241" i="5"/>
  <c r="O241" i="5"/>
  <c r="N241" i="5"/>
  <c r="S241" i="5" s="1"/>
  <c r="R240" i="5"/>
  <c r="Q240" i="5"/>
  <c r="P240" i="5"/>
  <c r="O240" i="5"/>
  <c r="N240" i="5"/>
  <c r="R239" i="5"/>
  <c r="Q239" i="5"/>
  <c r="P239" i="5"/>
  <c r="O239" i="5"/>
  <c r="N239" i="5"/>
  <c r="R238" i="5"/>
  <c r="Q238" i="5"/>
  <c r="P238" i="5"/>
  <c r="O238" i="5"/>
  <c r="N238" i="5"/>
  <c r="R237" i="5"/>
  <c r="Q237" i="5"/>
  <c r="P237" i="5"/>
  <c r="O237" i="5"/>
  <c r="N237" i="5"/>
  <c r="S237" i="5" s="1"/>
  <c r="R236" i="5"/>
  <c r="Q236" i="5"/>
  <c r="P236" i="5"/>
  <c r="O236" i="5"/>
  <c r="N236" i="5"/>
  <c r="R235" i="5"/>
  <c r="Q235" i="5"/>
  <c r="P235" i="5"/>
  <c r="O235" i="5"/>
  <c r="N235" i="5"/>
  <c r="R234" i="5"/>
  <c r="Q234" i="5"/>
  <c r="P234" i="5"/>
  <c r="O234" i="5"/>
  <c r="N234" i="5"/>
  <c r="R233" i="5"/>
  <c r="Q233" i="5"/>
  <c r="P233" i="5"/>
  <c r="O233" i="5"/>
  <c r="N233" i="5"/>
  <c r="S233" i="5" s="1"/>
  <c r="R232" i="5"/>
  <c r="Q232" i="5"/>
  <c r="P232" i="5"/>
  <c r="O232" i="5"/>
  <c r="N232" i="5"/>
  <c r="R231" i="5"/>
  <c r="Q231" i="5"/>
  <c r="P231" i="5"/>
  <c r="O231" i="5"/>
  <c r="N231" i="5"/>
  <c r="R230" i="5"/>
  <c r="Q230" i="5"/>
  <c r="P230" i="5"/>
  <c r="O230" i="5"/>
  <c r="N230" i="5"/>
  <c r="R229" i="5"/>
  <c r="Q229" i="5"/>
  <c r="P229" i="5"/>
  <c r="O229" i="5"/>
  <c r="N229" i="5"/>
  <c r="R220" i="5"/>
  <c r="Q220" i="5"/>
  <c r="P220" i="5"/>
  <c r="O220" i="5"/>
  <c r="N220" i="5"/>
  <c r="R219" i="5"/>
  <c r="Q219" i="5"/>
  <c r="P219" i="5"/>
  <c r="O219" i="5"/>
  <c r="N219" i="5"/>
  <c r="R218" i="5"/>
  <c r="Q218" i="5"/>
  <c r="P218" i="5"/>
  <c r="O218" i="5"/>
  <c r="N218" i="5"/>
  <c r="R217" i="5"/>
  <c r="Q217" i="5"/>
  <c r="P217" i="5"/>
  <c r="O217" i="5"/>
  <c r="N217" i="5"/>
  <c r="S217" i="5" s="1"/>
  <c r="R216" i="5"/>
  <c r="Q216" i="5"/>
  <c r="P216" i="5"/>
  <c r="O216" i="5"/>
  <c r="N216" i="5"/>
  <c r="R215" i="5"/>
  <c r="Q215" i="5"/>
  <c r="P215" i="5"/>
  <c r="O215" i="5"/>
  <c r="N215" i="5"/>
  <c r="R214" i="5"/>
  <c r="Q214" i="5"/>
  <c r="P214" i="5"/>
  <c r="O214" i="5"/>
  <c r="N214" i="5"/>
  <c r="R205" i="5"/>
  <c r="Q205" i="5"/>
  <c r="P205" i="5"/>
  <c r="O205" i="5"/>
  <c r="N205" i="5"/>
  <c r="S205" i="5" s="1"/>
  <c r="R204" i="5"/>
  <c r="Q204" i="5"/>
  <c r="P204" i="5"/>
  <c r="O204" i="5"/>
  <c r="N204" i="5"/>
  <c r="R203" i="5"/>
  <c r="Q203" i="5"/>
  <c r="P203" i="5"/>
  <c r="O203" i="5"/>
  <c r="N203" i="5"/>
  <c r="R202" i="5"/>
  <c r="Q202" i="5"/>
  <c r="P202" i="5"/>
  <c r="O202" i="5"/>
  <c r="N202" i="5"/>
  <c r="R201" i="5"/>
  <c r="Q201" i="5"/>
  <c r="P201" i="5"/>
  <c r="O201" i="5"/>
  <c r="N201" i="5"/>
  <c r="S201" i="5" s="1"/>
  <c r="R200" i="5"/>
  <c r="Q200" i="5"/>
  <c r="P200" i="5"/>
  <c r="O200" i="5"/>
  <c r="N200" i="5"/>
  <c r="R199" i="5"/>
  <c r="Q199" i="5"/>
  <c r="P199" i="5"/>
  <c r="O199" i="5"/>
  <c r="N199" i="5"/>
  <c r="R198" i="5"/>
  <c r="Q198" i="5"/>
  <c r="P198" i="5"/>
  <c r="O198" i="5"/>
  <c r="N198" i="5"/>
  <c r="R197" i="5"/>
  <c r="Q197" i="5"/>
  <c r="P197" i="5"/>
  <c r="O197" i="5"/>
  <c r="N197" i="5"/>
  <c r="S197" i="5" s="1"/>
  <c r="R196" i="5"/>
  <c r="Q196" i="5"/>
  <c r="P196" i="5"/>
  <c r="O196" i="5"/>
  <c r="N196" i="5"/>
  <c r="R195" i="5"/>
  <c r="Q195" i="5"/>
  <c r="P195" i="5"/>
  <c r="O195" i="5"/>
  <c r="N195" i="5"/>
  <c r="R194" i="5"/>
  <c r="Q194" i="5"/>
  <c r="P194" i="5"/>
  <c r="O194" i="5"/>
  <c r="N194" i="5"/>
  <c r="R185" i="5"/>
  <c r="Q185" i="5"/>
  <c r="P185" i="5"/>
  <c r="O185" i="5"/>
  <c r="N185" i="5"/>
  <c r="S185" i="5" s="1"/>
  <c r="R184" i="5"/>
  <c r="Q184" i="5"/>
  <c r="P184" i="5"/>
  <c r="O184" i="5"/>
  <c r="N184" i="5"/>
  <c r="R183" i="5"/>
  <c r="Q183" i="5"/>
  <c r="P183" i="5"/>
  <c r="O183" i="5"/>
  <c r="N183" i="5"/>
  <c r="R182" i="5"/>
  <c r="Q182" i="5"/>
  <c r="P182" i="5"/>
  <c r="O182" i="5"/>
  <c r="N182" i="5"/>
  <c r="R181" i="5"/>
  <c r="Q181" i="5"/>
  <c r="P181" i="5"/>
  <c r="O181" i="5"/>
  <c r="N181" i="5"/>
  <c r="S181" i="5" s="1"/>
  <c r="R180" i="5"/>
  <c r="Q180" i="5"/>
  <c r="P180" i="5"/>
  <c r="O180" i="5"/>
  <c r="N180" i="5"/>
  <c r="R179" i="5"/>
  <c r="Q179" i="5"/>
  <c r="P179" i="5"/>
  <c r="O179" i="5"/>
  <c r="N179" i="5"/>
  <c r="R178" i="5"/>
  <c r="Q178" i="5"/>
  <c r="P178" i="5"/>
  <c r="O178" i="5"/>
  <c r="N178" i="5"/>
  <c r="R177" i="5"/>
  <c r="Q177" i="5"/>
  <c r="P177" i="5"/>
  <c r="O177" i="5"/>
  <c r="N177" i="5"/>
  <c r="S177" i="5" s="1"/>
  <c r="R176" i="5"/>
  <c r="Q176" i="5"/>
  <c r="P176" i="5"/>
  <c r="O176" i="5"/>
  <c r="N176" i="5"/>
  <c r="R175" i="5"/>
  <c r="Q175" i="5"/>
  <c r="P175" i="5"/>
  <c r="O175" i="5"/>
  <c r="N175" i="5"/>
  <c r="R174" i="5"/>
  <c r="Q174" i="5"/>
  <c r="P174" i="5"/>
  <c r="O174" i="5"/>
  <c r="N174" i="5"/>
  <c r="R165" i="5"/>
  <c r="Q165" i="5"/>
  <c r="P165" i="5"/>
  <c r="O165" i="5"/>
  <c r="N165" i="5"/>
  <c r="S165" i="5" s="1"/>
  <c r="R164" i="5"/>
  <c r="Q164" i="5"/>
  <c r="P164" i="5"/>
  <c r="O164" i="5"/>
  <c r="N164" i="5"/>
  <c r="R163" i="5"/>
  <c r="Q163" i="5"/>
  <c r="P163" i="5"/>
  <c r="O163" i="5"/>
  <c r="N163" i="5"/>
  <c r="R162" i="5"/>
  <c r="Q162" i="5"/>
  <c r="P162" i="5"/>
  <c r="O162" i="5"/>
  <c r="N162" i="5"/>
  <c r="R161" i="5"/>
  <c r="Q161" i="5"/>
  <c r="P161" i="5"/>
  <c r="O161" i="5"/>
  <c r="N161" i="5"/>
  <c r="S161" i="5" s="1"/>
  <c r="R160" i="5"/>
  <c r="Q160" i="5"/>
  <c r="P160" i="5"/>
  <c r="O160" i="5"/>
  <c r="N160" i="5"/>
  <c r="R159" i="5"/>
  <c r="Q159" i="5"/>
  <c r="P159" i="5"/>
  <c r="O159" i="5"/>
  <c r="N159" i="5"/>
  <c r="R158" i="5"/>
  <c r="Q158" i="5"/>
  <c r="P158" i="5"/>
  <c r="O158" i="5"/>
  <c r="N158" i="5"/>
  <c r="R157" i="5"/>
  <c r="Q157" i="5"/>
  <c r="P157" i="5"/>
  <c r="O157" i="5"/>
  <c r="N157" i="5"/>
  <c r="S157" i="5" s="1"/>
  <c r="R156" i="5"/>
  <c r="Q156" i="5"/>
  <c r="P156" i="5"/>
  <c r="O156" i="5"/>
  <c r="N156" i="5"/>
  <c r="R147" i="5"/>
  <c r="Q147" i="5"/>
  <c r="P147" i="5"/>
  <c r="O147" i="5"/>
  <c r="N147" i="5"/>
  <c r="R146" i="5"/>
  <c r="Q146" i="5"/>
  <c r="P146" i="5"/>
  <c r="O146" i="5"/>
  <c r="N146" i="5"/>
  <c r="R145" i="5"/>
  <c r="Q145" i="5"/>
  <c r="P145" i="5"/>
  <c r="O145" i="5"/>
  <c r="N145" i="5"/>
  <c r="R144" i="5"/>
  <c r="Q144" i="5"/>
  <c r="P144" i="5"/>
  <c r="O144" i="5"/>
  <c r="N144" i="5"/>
  <c r="R143" i="5"/>
  <c r="Q143" i="5"/>
  <c r="P143" i="5"/>
  <c r="O143" i="5"/>
  <c r="N143" i="5"/>
  <c r="R142" i="5"/>
  <c r="Q142" i="5"/>
  <c r="P142" i="5"/>
  <c r="O142" i="5"/>
  <c r="N142" i="5"/>
  <c r="R141" i="5"/>
  <c r="Q141" i="5"/>
  <c r="P141" i="5"/>
  <c r="O141" i="5"/>
  <c r="N141" i="5"/>
  <c r="R140" i="5"/>
  <c r="Q140" i="5"/>
  <c r="P140" i="5"/>
  <c r="O140" i="5"/>
  <c r="N140" i="5"/>
  <c r="R139" i="5"/>
  <c r="Q139" i="5"/>
  <c r="P139" i="5"/>
  <c r="O139" i="5"/>
  <c r="N139" i="5"/>
  <c r="R138" i="5"/>
  <c r="Q138" i="5"/>
  <c r="P138" i="5"/>
  <c r="O138" i="5"/>
  <c r="N138" i="5"/>
  <c r="R137" i="5"/>
  <c r="Q137" i="5"/>
  <c r="P137" i="5"/>
  <c r="O137" i="5"/>
  <c r="N137" i="5"/>
  <c r="S137" i="5" s="1"/>
  <c r="R136" i="5"/>
  <c r="Q136" i="5"/>
  <c r="P136" i="5"/>
  <c r="O136" i="5"/>
  <c r="N136" i="5"/>
  <c r="R127" i="5"/>
  <c r="Q127" i="5"/>
  <c r="P127" i="5"/>
  <c r="O127" i="5"/>
  <c r="N127" i="5"/>
  <c r="R126" i="5"/>
  <c r="Q126" i="5"/>
  <c r="P126" i="5"/>
  <c r="O126" i="5"/>
  <c r="N126" i="5"/>
  <c r="R125" i="5"/>
  <c r="Q125" i="5"/>
  <c r="P125" i="5"/>
  <c r="O125" i="5"/>
  <c r="N125" i="5"/>
  <c r="S125" i="5" s="1"/>
  <c r="R124" i="5"/>
  <c r="Q124" i="5"/>
  <c r="P124" i="5"/>
  <c r="O124" i="5"/>
  <c r="N124" i="5"/>
  <c r="R123" i="5"/>
  <c r="Q123" i="5"/>
  <c r="P123" i="5"/>
  <c r="O123" i="5"/>
  <c r="N123" i="5"/>
  <c r="R122" i="5"/>
  <c r="Q122" i="5"/>
  <c r="P122" i="5"/>
  <c r="O122" i="5"/>
  <c r="N122" i="5"/>
  <c r="R121" i="5"/>
  <c r="Q121" i="5"/>
  <c r="P121" i="5"/>
  <c r="O121" i="5"/>
  <c r="N121" i="5"/>
  <c r="S121" i="5" s="1"/>
  <c r="R120" i="5"/>
  <c r="Q120" i="5"/>
  <c r="P120" i="5"/>
  <c r="O120" i="5"/>
  <c r="N120" i="5"/>
  <c r="R119" i="5"/>
  <c r="Q119" i="5"/>
  <c r="P119" i="5"/>
  <c r="O119" i="5"/>
  <c r="N119" i="5"/>
  <c r="R118" i="5"/>
  <c r="Q118" i="5"/>
  <c r="P118" i="5"/>
  <c r="O118" i="5"/>
  <c r="N118" i="5"/>
  <c r="R117" i="5"/>
  <c r="Q117" i="5"/>
  <c r="P117" i="5"/>
  <c r="O117" i="5"/>
  <c r="N117" i="5"/>
  <c r="S117" i="5" s="1"/>
  <c r="R116" i="5"/>
  <c r="Q116" i="5"/>
  <c r="P116" i="5"/>
  <c r="O116" i="5"/>
  <c r="N116" i="5"/>
  <c r="R107" i="5"/>
  <c r="Q107" i="5"/>
  <c r="P107" i="5"/>
  <c r="O107" i="5"/>
  <c r="N107" i="5"/>
  <c r="R106" i="5"/>
  <c r="Q106" i="5"/>
  <c r="P106" i="5"/>
  <c r="O106" i="5"/>
  <c r="N106" i="5"/>
  <c r="R105" i="5"/>
  <c r="Q105" i="5"/>
  <c r="P105" i="5"/>
  <c r="O105" i="5"/>
  <c r="N105" i="5"/>
  <c r="S105" i="5" s="1"/>
  <c r="R104" i="5"/>
  <c r="Q104" i="5"/>
  <c r="P104" i="5"/>
  <c r="O104" i="5"/>
  <c r="N104" i="5"/>
  <c r="R103" i="5"/>
  <c r="Q103" i="5"/>
  <c r="P103" i="5"/>
  <c r="O103" i="5"/>
  <c r="N103" i="5"/>
  <c r="R102" i="5"/>
  <c r="Q102" i="5"/>
  <c r="P102" i="5"/>
  <c r="O102" i="5"/>
  <c r="N102" i="5"/>
  <c r="R101" i="5"/>
  <c r="Q101" i="5"/>
  <c r="P101" i="5"/>
  <c r="O101" i="5"/>
  <c r="N101" i="5"/>
  <c r="R100" i="5"/>
  <c r="Q100" i="5"/>
  <c r="P100" i="5"/>
  <c r="O100" i="5"/>
  <c r="N100" i="5"/>
  <c r="R99" i="5"/>
  <c r="Q99" i="5"/>
  <c r="P99" i="5"/>
  <c r="O99" i="5"/>
  <c r="N99" i="5"/>
  <c r="R98" i="5"/>
  <c r="Q98" i="5"/>
  <c r="P98" i="5"/>
  <c r="O98" i="5"/>
  <c r="N98" i="5"/>
  <c r="R97" i="5"/>
  <c r="Q97" i="5"/>
  <c r="P97" i="5"/>
  <c r="O97" i="5"/>
  <c r="N97" i="5"/>
  <c r="S97" i="5" s="1"/>
  <c r="R96" i="5"/>
  <c r="Q96" i="5"/>
  <c r="P96" i="5"/>
  <c r="O96" i="5"/>
  <c r="N96" i="5"/>
  <c r="R95" i="5"/>
  <c r="Q95" i="5"/>
  <c r="P95" i="5"/>
  <c r="O95" i="5"/>
  <c r="N95" i="5"/>
  <c r="R94" i="5"/>
  <c r="Q94" i="5"/>
  <c r="P94" i="5"/>
  <c r="O94" i="5"/>
  <c r="N94" i="5"/>
  <c r="R93" i="5"/>
  <c r="Q93" i="5"/>
  <c r="P93" i="5"/>
  <c r="O93" i="5"/>
  <c r="N93" i="5"/>
  <c r="S93" i="5" s="1"/>
  <c r="R92" i="5"/>
  <c r="Q92" i="5"/>
  <c r="P92" i="5"/>
  <c r="O92" i="5"/>
  <c r="N92" i="5"/>
  <c r="R91" i="5"/>
  <c r="Q91" i="5"/>
  <c r="P91" i="5"/>
  <c r="O91" i="5"/>
  <c r="N91" i="5"/>
  <c r="R90" i="5"/>
  <c r="Q90" i="5"/>
  <c r="P90" i="5"/>
  <c r="O90" i="5"/>
  <c r="N90" i="5"/>
  <c r="R89" i="5"/>
  <c r="Q89" i="5"/>
  <c r="P89" i="5"/>
  <c r="O89" i="5"/>
  <c r="N89" i="5"/>
  <c r="S89" i="5" s="1"/>
  <c r="R88" i="5"/>
  <c r="Q88" i="5"/>
  <c r="P88" i="5"/>
  <c r="O88" i="5"/>
  <c r="N88" i="5"/>
  <c r="R87" i="5"/>
  <c r="Q87" i="5"/>
  <c r="P87" i="5"/>
  <c r="O87" i="5"/>
  <c r="N87" i="5"/>
  <c r="R78" i="5"/>
  <c r="Q78" i="5"/>
  <c r="P78" i="5"/>
  <c r="O78" i="5"/>
  <c r="N78" i="5"/>
  <c r="R77" i="5"/>
  <c r="Q77" i="5"/>
  <c r="P77" i="5"/>
  <c r="O77" i="5"/>
  <c r="N77" i="5"/>
  <c r="S77" i="5" s="1"/>
  <c r="R76" i="5"/>
  <c r="Q76" i="5"/>
  <c r="P76" i="5"/>
  <c r="O76" i="5"/>
  <c r="N76" i="5"/>
  <c r="R75" i="5"/>
  <c r="Q75" i="5"/>
  <c r="P75" i="5"/>
  <c r="O75" i="5"/>
  <c r="N75" i="5"/>
  <c r="R74" i="5"/>
  <c r="Q74" i="5"/>
  <c r="P74" i="5"/>
  <c r="O74" i="5"/>
  <c r="N74" i="5"/>
  <c r="R73" i="5"/>
  <c r="Q73" i="5"/>
  <c r="P73" i="5"/>
  <c r="O73" i="5"/>
  <c r="N73" i="5"/>
  <c r="S73" i="5" s="1"/>
  <c r="R72" i="5"/>
  <c r="Q72" i="5"/>
  <c r="P72" i="5"/>
  <c r="O72" i="5"/>
  <c r="N72" i="5"/>
  <c r="R71" i="5"/>
  <c r="Q71" i="5"/>
  <c r="P71" i="5"/>
  <c r="O71" i="5"/>
  <c r="N71" i="5"/>
  <c r="R70" i="5"/>
  <c r="Q70" i="5"/>
  <c r="P70" i="5"/>
  <c r="O70" i="5"/>
  <c r="N70" i="5"/>
  <c r="R69" i="5"/>
  <c r="Q69" i="5"/>
  <c r="P69" i="5"/>
  <c r="O69" i="5"/>
  <c r="N69" i="5"/>
  <c r="S69" i="5" s="1"/>
  <c r="R68" i="5"/>
  <c r="Q68" i="5"/>
  <c r="P68" i="5"/>
  <c r="O68" i="5"/>
  <c r="N68" i="5"/>
  <c r="R67" i="5"/>
  <c r="Q67" i="5"/>
  <c r="P67" i="5"/>
  <c r="O67" i="5"/>
  <c r="N67" i="5"/>
  <c r="R66" i="5"/>
  <c r="Q66" i="5"/>
  <c r="P66" i="5"/>
  <c r="O66" i="5"/>
  <c r="N66" i="5"/>
  <c r="R65" i="5"/>
  <c r="Q65" i="5"/>
  <c r="P65" i="5"/>
  <c r="O65" i="5"/>
  <c r="N65" i="5"/>
  <c r="S65" i="5" s="1"/>
  <c r="R64" i="5"/>
  <c r="Q64" i="5"/>
  <c r="P64" i="5"/>
  <c r="O64" i="5"/>
  <c r="N64" i="5"/>
  <c r="R63" i="5"/>
  <c r="Q63" i="5"/>
  <c r="P63" i="5"/>
  <c r="O63" i="5"/>
  <c r="N63" i="5"/>
  <c r="R62" i="5"/>
  <c r="Q62" i="5"/>
  <c r="P62" i="5"/>
  <c r="O62" i="5"/>
  <c r="N62" i="5"/>
  <c r="R61" i="5"/>
  <c r="Q61" i="5"/>
  <c r="P61" i="5"/>
  <c r="O61" i="5"/>
  <c r="N61" i="5"/>
  <c r="S61" i="5" s="1"/>
  <c r="R60" i="5"/>
  <c r="Q60" i="5"/>
  <c r="P60" i="5"/>
  <c r="O60" i="5"/>
  <c r="N60" i="5"/>
  <c r="R59" i="5"/>
  <c r="Q59" i="5"/>
  <c r="P59" i="5"/>
  <c r="O59" i="5"/>
  <c r="N59" i="5"/>
  <c r="R58" i="5"/>
  <c r="Q58" i="5"/>
  <c r="P58" i="5"/>
  <c r="O58" i="5"/>
  <c r="N58" i="5"/>
  <c r="N34" i="5"/>
  <c r="O34" i="5"/>
  <c r="P34" i="5"/>
  <c r="Q34" i="5"/>
  <c r="R34" i="5"/>
  <c r="N35" i="5"/>
  <c r="O35" i="5"/>
  <c r="P35" i="5"/>
  <c r="Q35" i="5"/>
  <c r="R35" i="5"/>
  <c r="N36" i="5"/>
  <c r="O36" i="5"/>
  <c r="P36" i="5"/>
  <c r="Q36" i="5"/>
  <c r="R36" i="5"/>
  <c r="N37" i="5"/>
  <c r="O37" i="5"/>
  <c r="S37" i="5" s="1"/>
  <c r="P37" i="5"/>
  <c r="Q37" i="5"/>
  <c r="R37" i="5"/>
  <c r="N38" i="5"/>
  <c r="O38" i="5"/>
  <c r="P38" i="5"/>
  <c r="Q38" i="5"/>
  <c r="R38" i="5"/>
  <c r="N39" i="5"/>
  <c r="O39" i="5"/>
  <c r="P39" i="5"/>
  <c r="Q39" i="5"/>
  <c r="R39" i="5"/>
  <c r="N40" i="5"/>
  <c r="O40" i="5"/>
  <c r="P40" i="5"/>
  <c r="Q40" i="5"/>
  <c r="R40" i="5"/>
  <c r="N41" i="5"/>
  <c r="O41" i="5"/>
  <c r="S41" i="5" s="1"/>
  <c r="P41" i="5"/>
  <c r="Q41" i="5"/>
  <c r="R41" i="5"/>
  <c r="N42" i="5"/>
  <c r="O42" i="5"/>
  <c r="P42" i="5"/>
  <c r="Q42" i="5"/>
  <c r="R42" i="5"/>
  <c r="N43" i="5"/>
  <c r="O43" i="5"/>
  <c r="P43" i="5"/>
  <c r="Q43" i="5"/>
  <c r="R43" i="5"/>
  <c r="N44" i="5"/>
  <c r="O44" i="5"/>
  <c r="P44" i="5"/>
  <c r="Q44" i="5"/>
  <c r="R44" i="5"/>
  <c r="N45" i="5"/>
  <c r="O45" i="5"/>
  <c r="S45" i="5" s="1"/>
  <c r="P45" i="5"/>
  <c r="Q45" i="5"/>
  <c r="R45" i="5"/>
  <c r="N46" i="5"/>
  <c r="S46" i="5" s="1"/>
  <c r="O46" i="5"/>
  <c r="P46" i="5"/>
  <c r="Q46" i="5"/>
  <c r="R46" i="5"/>
  <c r="N47" i="5"/>
  <c r="O47" i="5"/>
  <c r="P47" i="5"/>
  <c r="Q47" i="5"/>
  <c r="R47" i="5"/>
  <c r="N48" i="5"/>
  <c r="O48" i="5"/>
  <c r="P48" i="5"/>
  <c r="Q48" i="5"/>
  <c r="R48" i="5"/>
  <c r="N49" i="5"/>
  <c r="O49" i="5"/>
  <c r="S49" i="5" s="1"/>
  <c r="P49" i="5"/>
  <c r="Q49" i="5"/>
  <c r="R49" i="5"/>
  <c r="R33" i="5"/>
  <c r="Q33" i="5"/>
  <c r="P33" i="5"/>
  <c r="O33" i="5"/>
  <c r="N33" i="5"/>
  <c r="S33" i="5" s="1"/>
  <c r="N9" i="5"/>
  <c r="O9" i="5"/>
  <c r="P9" i="5"/>
  <c r="S9" i="5" s="1"/>
  <c r="Q9" i="5"/>
  <c r="R9" i="5"/>
  <c r="N10" i="5"/>
  <c r="O10" i="5"/>
  <c r="S10" i="5" s="1"/>
  <c r="P10" i="5"/>
  <c r="Q10" i="5"/>
  <c r="R10" i="5"/>
  <c r="N11" i="5"/>
  <c r="S11" i="5" s="1"/>
  <c r="O11" i="5"/>
  <c r="P11" i="5"/>
  <c r="Q11" i="5"/>
  <c r="R11" i="5"/>
  <c r="N12" i="5"/>
  <c r="O12" i="5"/>
  <c r="P12" i="5"/>
  <c r="Q12" i="5"/>
  <c r="S12" i="5" s="1"/>
  <c r="R12" i="5"/>
  <c r="N13" i="5"/>
  <c r="O13" i="5"/>
  <c r="P13" i="5"/>
  <c r="S13" i="5" s="1"/>
  <c r="Q13" i="5"/>
  <c r="R13" i="5"/>
  <c r="N14" i="5"/>
  <c r="O14" i="5"/>
  <c r="S14" i="5" s="1"/>
  <c r="P14" i="5"/>
  <c r="Q14" i="5"/>
  <c r="R14" i="5"/>
  <c r="N15" i="5"/>
  <c r="S15" i="5" s="1"/>
  <c r="O15" i="5"/>
  <c r="P15" i="5"/>
  <c r="Q15" i="5"/>
  <c r="R15" i="5"/>
  <c r="N16" i="5"/>
  <c r="O16" i="5"/>
  <c r="P16" i="5"/>
  <c r="Q16" i="5"/>
  <c r="S16" i="5" s="1"/>
  <c r="R16" i="5"/>
  <c r="N17" i="5"/>
  <c r="O17" i="5"/>
  <c r="P17" i="5"/>
  <c r="S17" i="5" s="1"/>
  <c r="Q17" i="5"/>
  <c r="R17" i="5"/>
  <c r="N18" i="5"/>
  <c r="S18" i="5" s="1"/>
  <c r="O18" i="5"/>
  <c r="P18" i="5"/>
  <c r="Q18" i="5"/>
  <c r="R18" i="5"/>
  <c r="N19" i="5"/>
  <c r="S19" i="5" s="1"/>
  <c r="O19" i="5"/>
  <c r="P19" i="5"/>
  <c r="Q19" i="5"/>
  <c r="R19" i="5"/>
  <c r="N20" i="5"/>
  <c r="O20" i="5"/>
  <c r="P20" i="5"/>
  <c r="Q20" i="5"/>
  <c r="S20" i="5" s="1"/>
  <c r="R20" i="5"/>
  <c r="N21" i="5"/>
  <c r="O21" i="5"/>
  <c r="P21" i="5"/>
  <c r="S21" i="5" s="1"/>
  <c r="Q21" i="5"/>
  <c r="R21" i="5"/>
  <c r="N22" i="5"/>
  <c r="S22" i="5" s="1"/>
  <c r="O22" i="5"/>
  <c r="P22" i="5"/>
  <c r="Q22" i="5"/>
  <c r="R22" i="5"/>
  <c r="N23" i="5"/>
  <c r="S23" i="5" s="1"/>
  <c r="O23" i="5"/>
  <c r="P23" i="5"/>
  <c r="Q23" i="5"/>
  <c r="R23" i="5"/>
  <c r="N24" i="5"/>
  <c r="O24" i="5"/>
  <c r="P24" i="5"/>
  <c r="Q24" i="5"/>
  <c r="S24" i="5" s="1"/>
  <c r="R24" i="5"/>
  <c r="R8" i="5"/>
  <c r="N8" i="5"/>
  <c r="O8" i="5"/>
  <c r="S8" i="5" s="1"/>
  <c r="P8" i="5"/>
  <c r="Q8" i="5"/>
  <c r="S38" i="5" l="1"/>
  <c r="S48" i="5"/>
  <c r="S47" i="5"/>
  <c r="S44" i="5"/>
  <c r="S43" i="5"/>
  <c r="S40" i="5"/>
  <c r="S39" i="5"/>
  <c r="S36" i="5"/>
  <c r="S35" i="5"/>
  <c r="S59" i="5"/>
  <c r="S63" i="5"/>
  <c r="S67" i="5"/>
  <c r="S71" i="5"/>
  <c r="S75" i="5"/>
  <c r="S87" i="5"/>
  <c r="S91" i="5"/>
  <c r="S95" i="5"/>
  <c r="S99" i="5"/>
  <c r="S103" i="5"/>
  <c r="S107" i="5"/>
  <c r="S119" i="5"/>
  <c r="S123" i="5"/>
  <c r="S127" i="5"/>
  <c r="S159" i="5"/>
  <c r="S163" i="5"/>
  <c r="S175" i="5"/>
  <c r="S179" i="5"/>
  <c r="S183" i="5"/>
  <c r="S195" i="5"/>
  <c r="S199" i="5"/>
  <c r="S203" i="5"/>
  <c r="S215" i="5"/>
  <c r="S219" i="5"/>
  <c r="S231" i="5"/>
  <c r="S235" i="5"/>
  <c r="S239" i="5"/>
  <c r="S243" i="5"/>
  <c r="S255" i="5"/>
  <c r="S259" i="5"/>
  <c r="S263" i="5"/>
  <c r="S267" i="5"/>
  <c r="S60" i="5"/>
  <c r="S64" i="5"/>
  <c r="S68" i="5"/>
  <c r="S72" i="5"/>
  <c r="S76" i="5"/>
  <c r="S88" i="5"/>
  <c r="S92" i="5"/>
  <c r="S96" i="5"/>
  <c r="S100" i="5"/>
  <c r="S104" i="5"/>
  <c r="S116" i="5"/>
  <c r="S120" i="5"/>
  <c r="S124" i="5"/>
  <c r="S136" i="5"/>
  <c r="S139" i="5"/>
  <c r="S140" i="5"/>
  <c r="S143" i="5"/>
  <c r="S144" i="5"/>
  <c r="S147" i="5"/>
  <c r="S156" i="5"/>
  <c r="S160" i="5"/>
  <c r="S164" i="5"/>
  <c r="S176" i="5"/>
  <c r="S180" i="5"/>
  <c r="S184" i="5"/>
  <c r="S196" i="5"/>
  <c r="S200" i="5"/>
  <c r="S204" i="5"/>
  <c r="S216" i="5"/>
  <c r="S220" i="5"/>
  <c r="S232" i="5"/>
  <c r="S236" i="5"/>
  <c r="S240" i="5"/>
  <c r="S244" i="5"/>
  <c r="S256" i="5"/>
  <c r="S260" i="5"/>
  <c r="S264" i="5"/>
  <c r="S268" i="5"/>
  <c r="S269" i="5"/>
  <c r="S42" i="5"/>
  <c r="S101" i="5"/>
  <c r="S34" i="5"/>
  <c r="S58" i="5"/>
  <c r="S62" i="5"/>
  <c r="S66" i="5"/>
  <c r="S70" i="5"/>
  <c r="S74" i="5"/>
  <c r="S78" i="5"/>
  <c r="S90" i="5"/>
  <c r="S94" i="5"/>
  <c r="S98" i="5"/>
  <c r="S102" i="5"/>
  <c r="S106" i="5"/>
  <c r="S118" i="5"/>
  <c r="S122" i="5"/>
  <c r="S126" i="5"/>
  <c r="S138" i="5"/>
  <c r="S141" i="5"/>
  <c r="S142" i="5"/>
  <c r="S145" i="5"/>
  <c r="S146" i="5"/>
  <c r="S158" i="5"/>
  <c r="S162" i="5"/>
  <c r="S174" i="5"/>
  <c r="S178" i="5"/>
  <c r="S182" i="5"/>
  <c r="S194" i="5"/>
  <c r="S198" i="5"/>
  <c r="S202" i="5"/>
  <c r="S214" i="5"/>
  <c r="S218" i="5"/>
  <c r="S229" i="5"/>
  <c r="S230" i="5"/>
  <c r="S234" i="5"/>
  <c r="S238" i="5"/>
  <c r="S242" i="5"/>
  <c r="S254" i="5"/>
  <c r="S258" i="5"/>
  <c r="S262" i="5"/>
  <c r="S266" i="5"/>
  <c r="S270" i="5"/>
  <c r="B17" i="4"/>
  <c r="B18" i="4" l="1"/>
  <c r="B19" i="4" s="1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2" i="4"/>
  <c r="C2" i="4"/>
  <c r="C3" i="4" s="1"/>
  <c r="C4" i="4" s="1"/>
  <c r="C5" i="4" s="1"/>
  <c r="C6" i="4" s="1"/>
  <c r="C7" i="4" s="1"/>
  <c r="C8" i="4" s="1"/>
  <c r="C9" i="4" s="1"/>
  <c r="C10" i="4" s="1"/>
  <c r="C11" i="4" s="1"/>
  <c r="C12" i="4" s="1"/>
  <c r="C13" i="4" s="1"/>
</calcChain>
</file>

<file path=xl/sharedStrings.xml><?xml version="1.0" encoding="utf-8"?>
<sst xmlns="http://schemas.openxmlformats.org/spreadsheetml/2006/main" count="2269" uniqueCount="288">
  <si>
    <t>Arquivo de Layout:</t>
  </si>
  <si>
    <t>Arquivo de scripts:</t>
  </si>
  <si>
    <t>Validador de Layout</t>
  </si>
  <si>
    <t>Referência:</t>
  </si>
  <si>
    <t>JAN</t>
  </si>
  <si>
    <t>FEV</t>
  </si>
  <si>
    <t>MAR</t>
  </si>
  <si>
    <t>ABR</t>
  </si>
  <si>
    <t>MAI</t>
  </si>
  <si>
    <t>JUN</t>
  </si>
  <si>
    <t>JUL</t>
  </si>
  <si>
    <t>AGO</t>
  </si>
  <si>
    <t>SET</t>
  </si>
  <si>
    <t>OUT</t>
  </si>
  <si>
    <t>NOV</t>
  </si>
  <si>
    <t>DEZ</t>
  </si>
  <si>
    <t>Pasta de Origem das Bases:</t>
  </si>
  <si>
    <t/>
  </si>
  <si>
    <t>Remover Duplicatas</t>
  </si>
  <si>
    <t>Verificar Duplicatas</t>
  </si>
  <si>
    <t>Verificar Tipo</t>
  </si>
  <si>
    <t>Verificar Tamanho</t>
  </si>
  <si>
    <t>Verificar Nulos</t>
  </si>
  <si>
    <t>DUPLICATAS</t>
  </si>
  <si>
    <t>COLUNAS</t>
  </si>
  <si>
    <t>Verificar Colunas</t>
  </si>
  <si>
    <t>ARQUIVOS</t>
  </si>
  <si>
    <t>Validar</t>
  </si>
  <si>
    <t>Limpar Temporários</t>
  </si>
  <si>
    <t>Exportar para TXT</t>
  </si>
  <si>
    <t>Atualizar Servidor SQL</t>
  </si>
  <si>
    <t>[agendadasBhz]</t>
  </si>
  <si>
    <t>[agendadasInt]</t>
  </si>
  <si>
    <t>[baixadasBhz]</t>
  </si>
  <si>
    <t>[baixadasInt]</t>
  </si>
  <si>
    <t>[canceladasBhz]</t>
  </si>
  <si>
    <t>[canceladasInt]</t>
  </si>
  <si>
    <t>[desmarcadas]</t>
  </si>
  <si>
    <t>[desprezadasBhz]</t>
  </si>
  <si>
    <t>[desprezadasInt]</t>
  </si>
  <si>
    <t>[ofertadas]</t>
  </si>
  <si>
    <t>[solicitadasBhz]</t>
  </si>
  <si>
    <t>[solicitadasInt]</t>
  </si>
  <si>
    <t> </t>
  </si>
  <si>
    <t>tableName</t>
  </si>
  <si>
    <t>tbImpAgendadasBhz</t>
  </si>
  <si>
    <t>unique</t>
  </si>
  <si>
    <t>true</t>
  </si>
  <si>
    <t>sourcePath</t>
  </si>
  <si>
    <t>S:\03-PAINEIS\05-AMBULATORIAL\02-BASES\</t>
  </si>
  <si>
    <t>sourceType</t>
  </si>
  <si>
    <t>xlsx</t>
  </si>
  <si>
    <t>targetPath</t>
  </si>
  <si>
    <t>\\vwcp-asplandb\temp\</t>
  </si>
  <si>
    <t>targetType</t>
  </si>
  <si>
    <t>txt</t>
  </si>
  <si>
    <t>CENTRAL</t>
  </si>
  <si>
    <t>central</t>
  </si>
  <si>
    <t>not</t>
  </si>
  <si>
    <t>null</t>
  </si>
  <si>
    <t>FICHA</t>
  </si>
  <si>
    <t>ficha</t>
  </si>
  <si>
    <t>SOLICITACAO</t>
  </si>
  <si>
    <t>solicitacao</t>
  </si>
  <si>
    <t>ESPECIALIDADE</t>
  </si>
  <si>
    <t>especialidade</t>
  </si>
  <si>
    <t>ORIGEM</t>
  </si>
  <si>
    <t>origem</t>
  </si>
  <si>
    <t>SOLICITANTE</t>
  </si>
  <si>
    <t>solicitante</t>
  </si>
  <si>
    <t>EXECUTANTE</t>
  </si>
  <si>
    <t>executante</t>
  </si>
  <si>
    <t>MEDICO</t>
  </si>
  <si>
    <t>medico</t>
  </si>
  <si>
    <t>DATA_AGENDA</t>
  </si>
  <si>
    <t>dataAgenda</t>
  </si>
  <si>
    <t>Date</t>
  </si>
  <si>
    <t>HORA_AGENDA</t>
  </si>
  <si>
    <t>horaAgenda</t>
  </si>
  <si>
    <t>Time</t>
  </si>
  <si>
    <t>DATA_RETORNO_OBRIGATORIO</t>
  </si>
  <si>
    <t>dataRetornoObrigatorio</t>
  </si>
  <si>
    <t>TIPO_BUSCA</t>
  </si>
  <si>
    <t>tipoBusca</t>
  </si>
  <si>
    <t>SITUACAO_ATUAL</t>
  </si>
  <si>
    <t>situacaoAtual</t>
  </si>
  <si>
    <t>MEDICO_REQUERIDO</t>
  </si>
  <si>
    <t>medicoRequerido</t>
  </si>
  <si>
    <t>UNIDADE_REQUERIDA</t>
  </si>
  <si>
    <t>unidadeRequerida</t>
  </si>
  <si>
    <t>TIPO_MARCACAO</t>
  </si>
  <si>
    <t>tipoMarcacao</t>
  </si>
  <si>
    <t>PROCEDENCIA_PACIENTE</t>
  </si>
  <si>
    <t>procedencia</t>
  </si>
  <si>
    <t>tbImpAgendadasInt</t>
  </si>
  <si>
    <t>Not</t>
  </si>
  <si>
    <t>Null</t>
  </si>
  <si>
    <t>tbImpBaixadasBhz</t>
  </si>
  <si>
    <t>TIPO_OFERTA</t>
  </si>
  <si>
    <t>tipoOferta</t>
  </si>
  <si>
    <t>FLAG_REALIZACAO</t>
  </si>
  <si>
    <t>flagRealizacao</t>
  </si>
  <si>
    <t>bit</t>
  </si>
  <si>
    <t>FLAG_BAIXA_SISTEMA</t>
  </si>
  <si>
    <t>flagBaixaSistema</t>
  </si>
  <si>
    <t>MOTIVO_AUSENCIA</t>
  </si>
  <si>
    <t>motivoAusencia</t>
  </si>
  <si>
    <t>tbImpBaixadasInt</t>
  </si>
  <si>
    <t>tbImpCanceladasBhz</t>
  </si>
  <si>
    <t>MUNICIPIO</t>
  </si>
  <si>
    <t>municipio</t>
  </si>
  <si>
    <t>SITUACAO</t>
  </si>
  <si>
    <t>situacao</t>
  </si>
  <si>
    <t>tbImpCanceladasInt</t>
  </si>
  <si>
    <t>tbImpDesmarcadas</t>
  </si>
  <si>
    <t>DATA</t>
  </si>
  <si>
    <t>data</t>
  </si>
  <si>
    <t>HORA</t>
  </si>
  <si>
    <t>hora</t>
  </si>
  <si>
    <t>DS_ESPEC_CONS</t>
  </si>
  <si>
    <t>TIPO_AGENDA</t>
  </si>
  <si>
    <t>tipoAgenda</t>
  </si>
  <si>
    <t>TIPO_NAO_MARCACAO</t>
  </si>
  <si>
    <t>tipoNaoMarcacao</t>
  </si>
  <si>
    <t>MOTIVO_IMPED_PROF</t>
  </si>
  <si>
    <t>motivoImpedProf</t>
  </si>
  <si>
    <t>MOTIVO_IMPED_UNID_CENT</t>
  </si>
  <si>
    <t>motivoImpedUnidCent</t>
  </si>
  <si>
    <t>tbImpDesprezadasBhz</t>
  </si>
  <si>
    <t>tbImpDesprezadasInt</t>
  </si>
  <si>
    <t>tbImpOfertadas</t>
  </si>
  <si>
    <t>PRESTADOR</t>
  </si>
  <si>
    <t>TIPO</t>
  </si>
  <si>
    <t>tbImpSolicitadasBhz</t>
  </si>
  <si>
    <t>CANCELAMENTO</t>
  </si>
  <si>
    <t>dataCancelamento</t>
  </si>
  <si>
    <t>DATA_SOLICITACAO</t>
  </si>
  <si>
    <t>dataSolicitacao</t>
  </si>
  <si>
    <t>date</t>
  </si>
  <si>
    <t>DATA_RETORNO_OBRIG</t>
  </si>
  <si>
    <t>dataRetorno</t>
  </si>
  <si>
    <t>CPF_MEDICO_SOLICITANTE</t>
  </si>
  <si>
    <t>cpfMedicoSolicitante</t>
  </si>
  <si>
    <t>NOME_MEDICO_SOLICITANTE</t>
  </si>
  <si>
    <t>nomeMedicoSolicitante</t>
  </si>
  <si>
    <t>tbImpSolicitadasInt</t>
  </si>
  <si>
    <t>VarChar</t>
  </si>
  <si>
    <t>name</t>
  </si>
  <si>
    <t>field</t>
  </si>
  <si>
    <t>type</t>
  </si>
  <si>
    <t>size</t>
  </si>
  <si>
    <t>Validações:</t>
  </si>
  <si>
    <t>Ano</t>
  </si>
  <si>
    <t>Mês</t>
  </si>
  <si>
    <t>Dia</t>
  </si>
  <si>
    <t>2018</t>
  </si>
  <si>
    <t>D:\02-BASES\05-SISREG\00-ANTERIORES\2018\01\2018-01_AGENDADAS_BHZ.xlsx</t>
  </si>
  <si>
    <t>D:\02-BASES\05-SISREG\00-ANTERIORES\2018\01\2018-01_AGENDADAS_INT.xlsx</t>
  </si>
  <si>
    <t>D:\02-BASES\05-SISREG\00-ANTERIORES\2018\01\2018-01_BAIXADAS_BHZ.xlsx</t>
  </si>
  <si>
    <t>D:\02-BASES\05-SISREG\00-ANTERIORES\2018\01\2018-01_BAIXADAS_INT.xlsx</t>
  </si>
  <si>
    <t>D:\02-BASES\05-SISREG\00-ANTERIORES\2018\01\2018-01_CANCELADAS_BHZ.xlsx</t>
  </si>
  <si>
    <t>D:\02-BASES\05-SISREG\00-ANTERIORES\2018\01\2018-01_CANCELADAS_INT.xlsx</t>
  </si>
  <si>
    <t>D:\02-BASES\05-SISREG\00-ANTERIORES\2018\01\2018-01_DESMARCADAS.xlsx</t>
  </si>
  <si>
    <t>D:\02-BASES\05-SISREG\00-ANTERIORES\2018\01\2018-01_DESPREZADAS_BHZ.xlsx</t>
  </si>
  <si>
    <t>D:\02-BASES\05-SISREG\00-ANTERIORES\2018\01\2018-01_DESPREZADAS_INT.xlsx</t>
  </si>
  <si>
    <t>D:\02-BASES\05-SISREG\00-ANTERIORES\2018\01\2018-01_SOLICITADAS_BHZ.xlsx</t>
  </si>
  <si>
    <t>D:\02-BASES\05-SISREG\00-ANTERIORES\2018\01\2018-01_SOLICITADAS_INT.xlsx</t>
  </si>
  <si>
    <t>D:\02-BASES\05-SISREG\00-ANTERIORES\2018\02\2018-02_AGENDADAS_BHZ.xlsx</t>
  </si>
  <si>
    <t>D:\02-BASES\05-SISREG\00-ANTERIORES\2018\02\2018-02_AGENDADAS_INT.xlsx</t>
  </si>
  <si>
    <t>D:\02-BASES\05-SISREG\00-ANTERIORES\2018\02\2018-02_BAIXADAS_BHZ.xlsx</t>
  </si>
  <si>
    <t>D:\02-BASES\05-SISREG\00-ANTERIORES\2018\02\2018-02_BAIXADAS_INT.xlsx</t>
  </si>
  <si>
    <t>D:\02-BASES\05-SISREG\00-ANTERIORES\2018\02\2018-02_CANCELADAS_BHZ.xlsx</t>
  </si>
  <si>
    <t>D:\02-BASES\05-SISREG\00-ANTERIORES\2018\02\2018-02_CANCELADAS_INT.xlsx</t>
  </si>
  <si>
    <t>D:\02-BASES\05-SISREG\00-ANTERIORES\2018\02\2018-02_DESMARCADAS.xlsx</t>
  </si>
  <si>
    <t>D:\02-BASES\05-SISREG\00-ANTERIORES\2018\02\2018-02_DESPREZADAS_BHZ.xlsx</t>
  </si>
  <si>
    <t>D:\02-BASES\05-SISREG\00-ANTERIORES\2018\02\2018-02_DESPREZADAS_INT.xlsx</t>
  </si>
  <si>
    <t>D:\02-BASES\05-SISREG\00-ANTERIORES\2018\02\2018-02_SOLICITADAS_BHZ.xlsx</t>
  </si>
  <si>
    <t>D:\02-BASES\05-SISREG\00-ANTERIORES\2018\02\2018-02_SOLICITADAS_INT.xlsx</t>
  </si>
  <si>
    <t>D:\02-BASES\05-SISREG\00-ANTERIORES\2018\03\2018-03_AGENDADAS_BHZ.xlsx</t>
  </si>
  <si>
    <t>D:\02-BASES\05-SISREG\00-ANTERIORES\2018\03\2018-03_AGENDADAS_INT.xlsx</t>
  </si>
  <si>
    <t>D:\02-BASES\05-SISREG\00-ANTERIORES\2018\03\2018-03_BAIXADAS_BHZ.xlsx</t>
  </si>
  <si>
    <t>D:\02-BASES\05-SISREG\00-ANTERIORES\2018\03\2018-03_BAIXADAS_INT.xlsx</t>
  </si>
  <si>
    <t>D:\02-BASES\05-SISREG\00-ANTERIORES\2018\03\2018-03_CANCELADAS_BHZ.xlsx</t>
  </si>
  <si>
    <t>D:\02-BASES\05-SISREG\00-ANTERIORES\2018\03\2018-03_CANCELADAS_INT.xlsx</t>
  </si>
  <si>
    <t>D:\02-BASES\05-SISREG\00-ANTERIORES\2018\03\2018-03_DESMARCADAS.xlsx</t>
  </si>
  <si>
    <t>D:\02-BASES\05-SISREG\00-ANTERIORES\2018\03\2018-03_DESPREZADAS_BHZ.xlsx</t>
  </si>
  <si>
    <t>D:\02-BASES\05-SISREG\00-ANTERIORES\2018\03\2018-03_DESPREZADAS_INT.xlsx</t>
  </si>
  <si>
    <t>D:\02-BASES\05-SISREG\00-ANTERIORES\2018\03\2018-03_SOLICITADAS_BHZ.xlsx</t>
  </si>
  <si>
    <t>D:\02-BASES\05-SISREG\00-ANTERIORES\2018\03\2018-03_SOLICITADAS_INT.xlsx</t>
  </si>
  <si>
    <t>D:\02-BASES\05-SISREG\00-ANTERIORES\2018\04\2018-04_AGENDADAS_BHZ.xlsx</t>
  </si>
  <si>
    <t>D:\02-BASES\05-SISREG\00-ANTERIORES\2018\04\2018-04_AGENDADAS_INT.xlsx</t>
  </si>
  <si>
    <t>D:\02-BASES\05-SISREG\00-ANTERIORES\2018\04\2018-04_BAIXADAS_BHZ.xlsx</t>
  </si>
  <si>
    <t>D:\02-BASES\05-SISREG\00-ANTERIORES\2018\04\2018-04_BAIXADAS_INT.xlsx</t>
  </si>
  <si>
    <t>D:\02-BASES\05-SISREG\00-ANTERIORES\2018\04\2018-04_CANCELADAS_BHZ.xlsx</t>
  </si>
  <si>
    <t>D:\02-BASES\05-SISREG\00-ANTERIORES\2018\04\2018-04_CANCELADAS_INT.xlsx</t>
  </si>
  <si>
    <t>D:\02-BASES\05-SISREG\00-ANTERIORES\2018\04\2018-04_DESMARCADAS.xlsx</t>
  </si>
  <si>
    <t>D:\02-BASES\05-SISREG\00-ANTERIORES\2018\04\2018-04_DESPREZADAS_BHZ.xlsx</t>
  </si>
  <si>
    <t>D:\02-BASES\05-SISREG\00-ANTERIORES\2018\04\2018-04_DESPREZADAS_INT.xlsx</t>
  </si>
  <si>
    <t>D:\02-BASES\05-SISREG\00-ANTERIORES\2018\04\2018-04_SOLICITADAS_BHZ.xlsx</t>
  </si>
  <si>
    <t>D:\02-BASES\05-SISREG\00-ANTERIORES\2018\04\2018-04_SOLICITADAS_INT.xlsx</t>
  </si>
  <si>
    <t>D:\02-BASES\05-SISREG\00-ANTERIORES\2018\05\2018-05_AGENDADAS_BHZ.xlsx</t>
  </si>
  <si>
    <t>D:\02-BASES\05-SISREG\00-ANTERIORES\2018\05\2018-05_AGENDADAS_INT.xlsx</t>
  </si>
  <si>
    <t>D:\02-BASES\05-SISREG\00-ANTERIORES\2018\05\2018-05_BAIXADAS_BHZ.xlsx</t>
  </si>
  <si>
    <t>D:\02-BASES\05-SISREG\00-ANTERIORES\2018\05\2018-05_BAIXADAS_INT.xlsx</t>
  </si>
  <si>
    <t>D:\02-BASES\05-SISREG\00-ANTERIORES\2018\05\2018-05_CANCELADAS_BHZ.xlsx</t>
  </si>
  <si>
    <t>D:\02-BASES\05-SISREG\00-ANTERIORES\2018\05\2018-05_CANCELADAS_INT.xlsx</t>
  </si>
  <si>
    <t>D:\02-BASES\05-SISREG\00-ANTERIORES\2018\05\2018-05_DESMARCADAS.xlsx</t>
  </si>
  <si>
    <t>D:\02-BASES\05-SISREG\00-ANTERIORES\2018\05\2018-05_DESPREZADAS_BHZ.xlsx</t>
  </si>
  <si>
    <t>D:\02-BASES\05-SISREG\00-ANTERIORES\2018\05\2018-05_DESPREZADAS_INT.xlsx</t>
  </si>
  <si>
    <t>D:\02-BASES\05-SISREG\00-ANTERIORES\2018\05\2018-05_SOLICITADAS_BHZ.xlsx</t>
  </si>
  <si>
    <t>D:\02-BASES\05-SISREG\00-ANTERIORES\2018\05\2018-05_SOLICITADAS_INT.xlsx</t>
  </si>
  <si>
    <t>D:\02-BASES\05-SISREG\00-ANTERIORES\2018\06\2018-06_AGENDADAS_BHZ.xlsx</t>
  </si>
  <si>
    <t>D:\02-BASES\05-SISREG\00-ANTERIORES\2018\06\2018-06_AGENDADAS_INT.xlsx</t>
  </si>
  <si>
    <t>D:\02-BASES\05-SISREG\00-ANTERIORES\2018\06\2018-06_BAIXADAS_BHZ.xlsx</t>
  </si>
  <si>
    <t>D:\02-BASES\05-SISREG\00-ANTERIORES\2018\06\2018-06_BAIXADAS_INT.xlsx</t>
  </si>
  <si>
    <t>D:\02-BASES\05-SISREG\00-ANTERIORES\2018\06\2018-06_CANCELADAS_BHZ.xlsx</t>
  </si>
  <si>
    <t>D:\02-BASES\05-SISREG\00-ANTERIORES\2018\06\2018-06_CANCELADAS_INT.xlsx</t>
  </si>
  <si>
    <t>D:\02-BASES\05-SISREG\00-ANTERIORES\2018\06\2018-06_DESMARCADAS.xlsx</t>
  </si>
  <si>
    <t>D:\02-BASES\05-SISREG\00-ANTERIORES\2018\06\2018-06_DESPREZADAS_BHZ.xlsx</t>
  </si>
  <si>
    <t>D:\02-BASES\05-SISREG\00-ANTERIORES\2018\06\2018-06_DESPREZADAS_INT.xlsx</t>
  </si>
  <si>
    <t>D:\02-BASES\05-SISREG\00-ANTERIORES\2018\06\2018-06_SOLICITADAS_BHZ.xlsx</t>
  </si>
  <si>
    <t>D:\02-BASES\05-SISREG\00-ANTERIORES\2018\06\2018-06_SOLICITADAS_INT.xlsx</t>
  </si>
  <si>
    <t>D:\02-BASES\05-SISREG\00-ANTERIORES\2018\07\2018-07_AGENDADAS_BHZ.xlsx</t>
  </si>
  <si>
    <t>D:\02-BASES\05-SISREG\00-ANTERIORES\2018\07\2018-07_AGENDADAS_INT.xlsx</t>
  </si>
  <si>
    <t>D:\02-BASES\05-SISREG\00-ANTERIORES\2018\07\2018-07_BAIXADAS_BHZ.xlsx</t>
  </si>
  <si>
    <t>D:\02-BASES\05-SISREG\00-ANTERIORES\2018\07\2018-07_BAIXADAS_INT.xlsx</t>
  </si>
  <si>
    <t>D:\02-BASES\05-SISREG\00-ANTERIORES\2018\07\2018-07_CANCELADAS_BHZ.xlsx</t>
  </si>
  <si>
    <t>D:\02-BASES\05-SISREG\00-ANTERIORES\2018\07\2018-07_CANCELADAS_INT.xlsx</t>
  </si>
  <si>
    <t>D:\02-BASES\05-SISREG\00-ANTERIORES\2018\07\2018-07_DESMARCADAS.xlsx</t>
  </si>
  <si>
    <t>D:\02-BASES\05-SISREG\00-ANTERIORES\2018\07\2018-07_DESPREZADAS_BHZ.xlsx</t>
  </si>
  <si>
    <t>D:\02-BASES\05-SISREG\00-ANTERIORES\2018\07\2018-07_DESPREZADAS_INT.xlsx</t>
  </si>
  <si>
    <t>D:\02-BASES\05-SISREG\00-ANTERIORES\2018\07\2018-07_SOLICITADAS_BHZ.xlsx</t>
  </si>
  <si>
    <t>D:\02-BASES\05-SISREG\00-ANTERIORES\2018\07\2018-07_SOLICITADAS_INT.xlsx</t>
  </si>
  <si>
    <t>D:\02-BASES\05-SISREG\00-ANTERIORES\2018\08\2018-08_AGENDADAS_BHZ.xlsx</t>
  </si>
  <si>
    <t>D:\02-BASES\05-SISREG\00-ANTERIORES\2018\08\2018-08_AGENDADAS_INT.xlsx</t>
  </si>
  <si>
    <t>D:\02-BASES\05-SISREG\00-ANTERIORES\2018\08\2018-08_BAIXADAS_BHZ.xlsx</t>
  </si>
  <si>
    <t>D:\02-BASES\05-SISREG\00-ANTERIORES\2018\08\2018-08_BAIXADAS_INT.xlsx</t>
  </si>
  <si>
    <t>D:\02-BASES\05-SISREG\00-ANTERIORES\2018\08\2018-08_CANCELADAS_BHZ.xlsx</t>
  </si>
  <si>
    <t>D:\02-BASES\05-SISREG\00-ANTERIORES\2018\08\2018-08_CANCELADAS_INT.xlsx</t>
  </si>
  <si>
    <t>D:\02-BASES\05-SISREG\00-ANTERIORES\2018\08\2018-08_DESMARCADAS.xlsx</t>
  </si>
  <si>
    <t>D:\02-BASES\05-SISREG\00-ANTERIORES\2018\08\2018-08_DESPREZADAS_BHZ.xlsx</t>
  </si>
  <si>
    <t>D:\02-BASES\05-SISREG\00-ANTERIORES\2018\08\2018-08_DESPREZADAS_INT.xlsx</t>
  </si>
  <si>
    <t>D:\02-BASES\05-SISREG\00-ANTERIORES\2018\08\2018-08_SOLICITADAS_BHZ.xlsx</t>
  </si>
  <si>
    <t>D:\02-BASES\05-SISREG\00-ANTERIORES\2018\08\2018-08_SOLICITADAS_INT.xlsx</t>
  </si>
  <si>
    <t>D:\02-BASES\05-SISREG\00-ANTERIORES\2018\09\2018-09_AGENDADAS_BHZ.xlsx</t>
  </si>
  <si>
    <t>D:\02-BASES\05-SISREG\00-ANTERIORES\2018\09\2018-09_AGENDADAS_INT.xlsx</t>
  </si>
  <si>
    <t>D:\02-BASES\05-SISREG\00-ANTERIORES\2018\09\2018-09_BAIXADAS_BHZ.xlsx</t>
  </si>
  <si>
    <t>D:\02-BASES\05-SISREG\00-ANTERIORES\2018\09\2018-09_BAIXADAS_INT.xlsx</t>
  </si>
  <si>
    <t>D:\02-BASES\05-SISREG\00-ANTERIORES\2018\09\2018-09_CANCELADAS_BHZ.xlsx</t>
  </si>
  <si>
    <t>D:\02-BASES\05-SISREG\00-ANTERIORES\2018\09\2018-09_CANCELADAS_INT.xlsx</t>
  </si>
  <si>
    <t>D:\02-BASES\05-SISREG\00-ANTERIORES\2018\09\2018-09_DESMARCADAS.xlsx</t>
  </si>
  <si>
    <t>D:\02-BASES\05-SISREG\00-ANTERIORES\2018\09\2018-09_DESPREZADAS_BHZ.xlsx</t>
  </si>
  <si>
    <t>D:\02-BASES\05-SISREG\00-ANTERIORES\2018\09\2018-09_DESPREZADAS_INT.xlsx</t>
  </si>
  <si>
    <t>D:\02-BASES\05-SISREG\00-ANTERIORES\2018\09\2018-09_SOLICITADAS_BHZ.xlsx</t>
  </si>
  <si>
    <t>D:\02-BASES\05-SISREG\00-ANTERIORES\2018\09\2018-09_SOLICITADAS_INT.xlsx</t>
  </si>
  <si>
    <t>D:\02-BASES\05-SISREG\00-ANTERIORES\2018\10\2018-10_AGENDADAS_BHZ.xlsx</t>
  </si>
  <si>
    <t>D:\02-BASES\05-SISREG\00-ANTERIORES\2018\10\2018-10_AGENDADAS_INT.xlsx</t>
  </si>
  <si>
    <t>D:\02-BASES\05-SISREG\00-ANTERIORES\2018\10\2018-10_BAIXADAS_BHZ.xlsx</t>
  </si>
  <si>
    <t>D:\02-BASES\05-SISREG\00-ANTERIORES\2018\10\2018-10_BAIXADAS_INT.xlsx</t>
  </si>
  <si>
    <t>D:\02-BASES\05-SISREG\00-ANTERIORES\2018\10\2018-10_CANCELADAS_BHZ.xlsx</t>
  </si>
  <si>
    <t>D:\02-BASES\05-SISREG\00-ANTERIORES\2018\10\2018-10_CANCELADAS_INT.xlsx</t>
  </si>
  <si>
    <t>D:\02-BASES\05-SISREG\00-ANTERIORES\2018\10\2018-10_DESMARCADAS.xlsx</t>
  </si>
  <si>
    <t>D:\02-BASES\05-SISREG\00-ANTERIORES\2018\10\2018-10_DESPREZADAS_BHZ.xlsx</t>
  </si>
  <si>
    <t>D:\02-BASES\05-SISREG\00-ANTERIORES\2018\10\2018-10_DESPREZADAS_INT.xlsx</t>
  </si>
  <si>
    <t>D:\02-BASES\05-SISREG\00-ANTERIORES\2018\10\2018-10_SOLICITADAS_BHZ.xlsx</t>
  </si>
  <si>
    <t>D:\02-BASES\05-SISREG\00-ANTERIORES\2018\10\2018-10_SOLICITADAS_INT.xlsx</t>
  </si>
  <si>
    <t>D:\02-BASES\05-SISREG\00-ANTERIORES\2018\11\2018-11_AGENDADAS_BHZ.xlsx</t>
  </si>
  <si>
    <t>D:\02-BASES\05-SISREG\00-ANTERIORES\2018\11\2018-11_AGENDADAS_INT.xlsx</t>
  </si>
  <si>
    <t>D:\02-BASES\05-SISREG\00-ANTERIORES\2018\11\2018-11_BAIXADAS_BHZ.xlsx</t>
  </si>
  <si>
    <t>D:\02-BASES\05-SISREG\00-ANTERIORES\2018\11\2018-11_BAIXADAS_INT.xlsx</t>
  </si>
  <si>
    <t>D:\02-BASES\05-SISREG\00-ANTERIORES\2018\11\2018-11_CANCELADAS_BHZ.xlsx</t>
  </si>
  <si>
    <t>D:\02-BASES\05-SISREG\00-ANTERIORES\2018\11\2018-11_CANCELADAS_INT.xlsx</t>
  </si>
  <si>
    <t>D:\02-BASES\05-SISREG\00-ANTERIORES\2018\11\2018-11_DESMARCADAS.xlsx</t>
  </si>
  <si>
    <t>D:\02-BASES\05-SISREG\00-ANTERIORES\2018\11\2018-11_DESPREZADAS_BHZ.xlsx</t>
  </si>
  <si>
    <t>D:\02-BASES\05-SISREG\00-ANTERIORES\2018\11\2018-11_DESPREZADAS_INT.xlsx</t>
  </si>
  <si>
    <t>D:\02-BASES\05-SISREG\00-ANTERIORES\2018\11\2018-11_SOLICITADAS_BHZ.xlsx</t>
  </si>
  <si>
    <t>D:\02-BASES\05-SISREG\00-ANTERIORES\2018\11\2018-11_SOLICITADAS_INT.xlsx</t>
  </si>
  <si>
    <t>D:\02-BASES\05-SISREG\00-ANTERIORES\2018\12\2018-12_AGENDADAS_BHZ.xlsx</t>
  </si>
  <si>
    <t>D:\02-BASES\05-SISREG\00-ANTERIORES\2018\12\2018-12_AGENDADAS_INT.xlsx</t>
  </si>
  <si>
    <t>D:\02-BASES\05-SISREG\00-ANTERIORES\2018\12\2018-12_BAIXADAS_BHZ.xlsx</t>
  </si>
  <si>
    <t>D:\02-BASES\05-SISREG\00-ANTERIORES\2018\12\2018-12_BAIXADAS_INT.xlsx</t>
  </si>
  <si>
    <t>D:\02-BASES\05-SISREG\00-ANTERIORES\2018\12\2018-12_CANCELADAS_BHZ.xlsx</t>
  </si>
  <si>
    <t>D:\02-BASES\05-SISREG\00-ANTERIORES\2018\12\2018-12_CANCELADAS_INT.xlsx</t>
  </si>
  <si>
    <t>D:\02-BASES\05-SISREG\00-ANTERIORES\2018\12\2018-12_DESMARCADAS.xlsx</t>
  </si>
  <si>
    <t>D:\02-BASES\05-SISREG\00-ANTERIORES\2018\12\2018-12_DESPREZADAS_BHZ.xlsx</t>
  </si>
  <si>
    <t>D:\02-BASES\05-SISREG\00-ANTERIORES\2018\12\2018-12_DESPREZADAS_INT.xlsx</t>
  </si>
  <si>
    <t>D:\02-BASES\05-SISREG\00-ANTERIORES\2018\12\2018-12_SOLICITADAS_BHZ.xlsx</t>
  </si>
  <si>
    <t>D:\02-BASES\05-SISREG\00-ANTERIORES\2018\12\2018-12_SOLICITADAS_INT.xlsx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</si>
</sst>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;;;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8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name val="Calibri"/>
      <family val="2"/>
      <scheme val="minor"/>
    </font>
    <font>
      <sz val="11"/>
      <name val="Consolas"/>
      <family val="3"/>
    </font>
    <font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sz val="16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00703C"/>
        <bgColor indexed="64"/>
      </patternFill>
    </fill>
    <fill>
      <patternFill patternType="solid">
        <fgColor rgb="FF1E1E1E"/>
        <bgColor indexed="64"/>
      </patternFill>
    </fill>
  </fills>
  <borders count="14">
    <border>
      <left/>
      <right/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/>
      <bottom/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</borders>
  <cellStyleXfs count="1">
    <xf numFmtId="0" fontId="0" fillId="0" borderId="0"/>
  </cellStyleXfs>
  <cellXfs count="36">
    <xf numFmtId="0" fontId="0" fillId="0" borderId="0" xfId="0"/>
    <xf numFmtId="0" fontId="1" fillId="0" borderId="0" xfId="0" applyFont="1" applyAlignment="1">
      <alignment horizontal="left" vertical="center"/>
    </xf>
    <xf numFmtId="0" fontId="1" fillId="2" borderId="0" xfId="0" applyFont="1" applyFill="1" applyAlignment="1">
      <alignment horizontal="left" vertical="center"/>
    </xf>
    <xf numFmtId="0" fontId="0" fillId="2" borderId="0" xfId="0" applyFill="1"/>
    <xf numFmtId="0" fontId="2" fillId="3" borderId="0" xfId="0" applyFont="1" applyFill="1" applyAlignment="1">
      <alignment vertical="center"/>
    </xf>
    <xf numFmtId="164" fontId="0" fillId="0" borderId="0" xfId="0" applyNumberFormat="1"/>
    <xf numFmtId="0" fontId="5" fillId="0" borderId="0" xfId="0" applyFont="1" applyAlignment="1">
      <alignment vertical="center"/>
    </xf>
    <xf numFmtId="0" fontId="6" fillId="4" borderId="0" xfId="0" applyFont="1" applyFill="1" applyAlignment="1">
      <alignment vertical="center"/>
    </xf>
    <xf numFmtId="0" fontId="6" fillId="0" borderId="0" xfId="0" applyFont="1"/>
    <xf numFmtId="0" fontId="1" fillId="0" borderId="0" xfId="0" applyFont="1" applyAlignment="1">
      <alignment horizontal="right" vertical="center"/>
    </xf>
    <xf numFmtId="0" fontId="2" fillId="3" borderId="1" xfId="0" applyFont="1" applyFill="1" applyBorder="1" applyAlignment="1">
      <alignment vertical="center"/>
    </xf>
    <xf numFmtId="0" fontId="2" fillId="3" borderId="2" xfId="0" applyFont="1" applyFill="1" applyBorder="1" applyAlignment="1">
      <alignment vertical="center"/>
    </xf>
    <xf numFmtId="0" fontId="1" fillId="0" borderId="0" xfId="0" applyFont="1" applyAlignment="1">
      <alignment vertical="center"/>
    </xf>
    <xf numFmtId="0" fontId="0" fillId="0" borderId="0" xfId="0" applyAlignment="1">
      <alignment vertical="center"/>
    </xf>
    <xf numFmtId="0" fontId="0" fillId="0" borderId="3" xfId="0" applyBorder="1"/>
    <xf numFmtId="0" fontId="0" fillId="0" borderId="4" xfId="0" applyBorder="1" applyAlignment="1">
      <alignment vertical="center"/>
    </xf>
    <xf numFmtId="0" fontId="0" fillId="0" borderId="5" xfId="0" applyBorder="1"/>
    <xf numFmtId="0" fontId="0" fillId="0" borderId="3" xfId="0" applyBorder="1" applyAlignment="1">
      <alignment vertical="center"/>
    </xf>
    <xf numFmtId="0" fontId="0" fillId="0" borderId="4" xfId="0" applyBorder="1"/>
    <xf numFmtId="0" fontId="0" fillId="0" borderId="0" xfId="0" applyAlignment="1">
      <alignment horizontal="left"/>
    </xf>
    <xf numFmtId="0" fontId="0" fillId="0" borderId="0" xfId="0" applyAlignment="1">
      <alignment horizontal="right"/>
    </xf>
    <xf numFmtId="0" fontId="3" fillId="0" borderId="0" xfId="0" applyFont="1" applyAlignment="1">
      <alignment horizontal="right" vertical="center"/>
    </xf>
    <xf numFmtId="0" fontId="0" fillId="0" borderId="9" xfId="0" applyBorder="1"/>
    <xf numFmtId="0" fontId="0" fillId="0" borderId="10" xfId="0" applyBorder="1" applyAlignment="1">
      <alignment vertical="center"/>
    </xf>
    <xf numFmtId="0" fontId="0" fillId="0" borderId="11" xfId="0" applyBorder="1"/>
    <xf numFmtId="0" fontId="0" fillId="0" borderId="12" xfId="0" applyBorder="1" applyAlignment="1">
      <alignment vertical="center"/>
    </xf>
    <xf numFmtId="0" fontId="0" fillId="0" borderId="13" xfId="0" applyBorder="1" applyAlignment="1">
      <alignment vertical="center"/>
    </xf>
    <xf numFmtId="164" fontId="3" fillId="0" borderId="0" xfId="0" applyNumberFormat="1" applyFont="1" applyAlignment="1">
      <alignment vertical="center"/>
    </xf>
    <xf numFmtId="0" fontId="0" fillId="0" borderId="10" xfId="0" applyBorder="1"/>
    <xf numFmtId="0" fontId="0" fillId="0" borderId="12" xfId="0" applyBorder="1"/>
    <xf numFmtId="0" fontId="0" fillId="0" borderId="13" xfId="0" applyBorder="1"/>
    <xf numFmtId="0" fontId="4" fillId="0" borderId="6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 vertical="center"/>
    </xf>
    <xf numFmtId="0" fontId="8" fillId="0" borderId="9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703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CheckBox" checked="Checked" fmlaLink="DEF_DUP" lockText="1" noThreeD="1"/>
</file>

<file path=xl/ctrlProps/ctrlProp2.xml><?xml version="1.0" encoding="utf-8"?>
<formControlPr xmlns="http://schemas.microsoft.com/office/spreadsheetml/2009/9/main" objectType="CheckBox" checked="Checked" fmlaLink="DEF_UNI" lockText="1" noThreeD="1"/>
</file>

<file path=xl/ctrlProps/ctrlProp3.xml><?xml version="1.0" encoding="utf-8"?>
<formControlPr xmlns="http://schemas.microsoft.com/office/spreadsheetml/2009/9/main" objectType="CheckBox" checked="Checked" fmlaLink="DEF_COL" lockText="1" noThreeD="1"/>
</file>

<file path=xl/ctrlProps/ctrlProp4.xml><?xml version="1.0" encoding="utf-8"?>
<formControlPr xmlns="http://schemas.microsoft.com/office/spreadsheetml/2009/9/main" objectType="CheckBox" checked="Checked" fmlaLink="DEF_TIP" lockText="1" noThreeD="1"/>
</file>

<file path=xl/ctrlProps/ctrlProp5.xml><?xml version="1.0" encoding="utf-8"?>
<formControlPr xmlns="http://schemas.microsoft.com/office/spreadsheetml/2009/9/main" objectType="CheckBox" checked="Checked" fmlaLink="DEF_TAM" lockText="1" noThreeD="1"/>
</file>

<file path=xl/ctrlProps/ctrlProp6.xml><?xml version="1.0" encoding="utf-8"?>
<formControlPr xmlns="http://schemas.microsoft.com/office/spreadsheetml/2009/9/main" objectType="CheckBox" checked="Checked" fmlaLink="DEF_NUL" lockText="1" noThreeD="1"/>
</file>

<file path=xl/ctrlProps/ctrlProp7.xml><?xml version="1.0" encoding="utf-8"?>
<formControlPr xmlns="http://schemas.microsoft.com/office/spreadsheetml/2009/9/main" objectType="CheckBox" fmlaLink="DEF_VAL" lockText="1" noThreeD="1"/>
</file>

<file path=xl/ctrlProps/ctrlProp8.xml><?xml version="1.0" encoding="utf-8"?>
<formControlPr xmlns="http://schemas.microsoft.com/office/spreadsheetml/2009/9/main" objectType="CheckBox" checked="Checked" fmlaLink="DEF_EXP" lockText="1" noThreeD="1"/>
</file>

<file path=xl/ctrlProps/ctrlProp9.xml><?xml version="1.0" encoding="utf-8"?>
<formControlPr xmlns="http://schemas.microsoft.com/office/spreadsheetml/2009/9/main" objectType="CheckBox" checked="Checked" fmlaLink="DEF_SQL" lockText="1" noThreeD="1"/>
</file>

<file path=xl/ctrlProps/ctrlProp10.xml><?xml version="1.0" encoding="utf-8"?>
<formControlPr xmlns="http://schemas.microsoft.com/office/spreadsheetml/2009/9/main" objectType="CheckBox" checked="Checked" fmlaLink="DEF_TMP" lockText="1" noThreeD="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29</xdr:col>
      <xdr:colOff>1</xdr:colOff>
      <xdr:row>0</xdr:row>
      <xdr:rowOff>1</xdr:rowOff>
    </xdr:from>
    <xdr:to>
      <xdr:col>37</xdr:col>
      <xdr:colOff>1</xdr:colOff>
      <xdr:row>1</xdr:row>
      <xdr:rowOff>1</xdr:rowOff>
    </xdr:to>
    <xdr:sp macro="[0]!Main" textlink="$A$2">
      <xdr:nvSpPr>
        <xdr:cNvPr id="2" name="ExecBtn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5248276" y="1"/>
          <a:ext cx="1447800" cy="438150"/>
        </a:xfrm>
        <a:prstGeom prst="rect">
          <a:avLst/>
        </a:prstGeom>
        <a:noFill/>
        <a:ln w="38100" cmpd="sng">
          <a:noFill/>
          <a:prstDash val="soli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9DC9E84-7673-48EE-AAE2-84D062395928}" type="TxLink">
            <a:rPr lang="en-US" sz="1100" b="0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Exportar e atualizar</a:t>
          </a:fld>
          <a:endParaRPr lang="pt-BR" sz="1100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10</xdr:col>
      <xdr:colOff>0</xdr:colOff>
      <xdr:row>12</xdr:row>
      <xdr:rowOff>244475</xdr:rowOff>
    </xdr:from>
    <xdr:to>
      <xdr:col>30</xdr:col>
      <xdr:colOff>25400</xdr:colOff>
      <xdr:row>14</xdr:row>
      <xdr:rowOff>0</xdr:rowOff>
    </xdr:to>
    <xdr:sp macro="[0]!SelectSQL" textlink="">
      <xdr:nvSpPr>
        <xdr:cNvPr id="6" name="ScriptsBtn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2295525" y="1435100"/>
          <a:ext cx="3644900" cy="317500"/>
        </a:xfrm>
        <a:prstGeom prst="rect">
          <a:avLst/>
        </a:prstGeom>
        <a:solidFill>
          <a:schemeClr val="bg2"/>
        </a:solidFill>
        <a:ln w="12700" cmpd="sng">
          <a:noFill/>
          <a:prstDash val="soli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overflow" horzOverflow="overflow" wrap="none" tIns="180000" bIns="180000" rtlCol="0" anchor="ctr">
          <a:noAutofit/>
        </a:bodyPr>
        <a:lstStyle/>
        <a:p>
          <a:pPr algn="l"/>
          <a:r>
            <a:rPr lang="pt-BR" sz="1100"/>
            <a:t>S:\10-APPS\10-DEVOPS\03-VALIDADOR\AmbulatorialSQL.ini</a:t>
          </a:r>
        </a:p>
      </xdr:txBody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28</xdr:col>
      <xdr:colOff>171450</xdr:colOff>
      <xdr:row>12</xdr:row>
      <xdr:rowOff>0</xdr:rowOff>
    </xdr:to>
    <xdr:sp macro="[0]!SelectINI" textlink="">
      <xdr:nvSpPr>
        <xdr:cNvPr id="3" name="ConfigBtn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2295525" y="876300"/>
          <a:ext cx="3429000" cy="314325"/>
        </a:xfrm>
        <a:prstGeom prst="rect">
          <a:avLst/>
        </a:prstGeom>
        <a:solidFill>
          <a:schemeClr val="bg2"/>
        </a:solidFill>
        <a:ln w="12700" cmpd="sng">
          <a:noFill/>
          <a:prstDash val="soli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overflow" horzOverflow="overflow" wrap="none" tIns="180000" bIns="180000" rtlCol="0" anchor="ctr">
          <a:noAutofit/>
        </a:bodyPr>
        <a:lstStyle/>
        <a:p>
          <a:pPr algn="l"/>
          <a:r>
            <a:rPr lang="pt-BR" sz="1100"/>
            <a:t>S:\10-APPS\10-DEVOPS\03-VALIDADOR\Ambulatorial.ini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</xdr:row>
          <xdr:rowOff>0</xdr:rowOff>
        </xdr:from>
        <xdr:to>
          <xdr:col>13</xdr:col>
          <xdr:colOff>0</xdr:colOff>
          <xdr:row>4</xdr:row>
          <xdr:rowOff>0</xdr:rowOff>
        </xdr:to>
        <xdr:sp macro="" textlink="">
          <xdr:nvSpPr>
            <xdr:cNvPr id="1026" name="ComboBox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</xdr:row>
          <xdr:rowOff>0</xdr:rowOff>
        </xdr:from>
        <xdr:to>
          <xdr:col>16</xdr:col>
          <xdr:colOff>0</xdr:colOff>
          <xdr:row>4</xdr:row>
          <xdr:rowOff>0</xdr:rowOff>
        </xdr:to>
        <xdr:sp macro="" textlink="">
          <xdr:nvSpPr>
            <xdr:cNvPr id="1027" name="ComboBox2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</xdr:row>
          <xdr:rowOff>0</xdr:rowOff>
        </xdr:from>
        <xdr:to>
          <xdr:col>19</xdr:col>
          <xdr:colOff>0</xdr:colOff>
          <xdr:row>4</xdr:row>
          <xdr:rowOff>0</xdr:rowOff>
        </xdr:to>
        <xdr:sp macro="" textlink="">
          <xdr:nvSpPr>
            <xdr:cNvPr id="1028" name="ComboBox3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10</xdr:col>
      <xdr:colOff>0</xdr:colOff>
      <xdr:row>15</xdr:row>
      <xdr:rowOff>6350</xdr:rowOff>
    </xdr:from>
    <xdr:to>
      <xdr:col>23</xdr:col>
      <xdr:colOff>161925</xdr:colOff>
      <xdr:row>16</xdr:row>
      <xdr:rowOff>0</xdr:rowOff>
    </xdr:to>
    <xdr:sp macro="[0]!SelectSource" textlink="">
      <xdr:nvSpPr>
        <xdr:cNvPr id="8" name="SourceBtn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 txBox="1"/>
      </xdr:nvSpPr>
      <xdr:spPr>
        <a:xfrm>
          <a:off x="2295525" y="2006600"/>
          <a:ext cx="2514600" cy="307975"/>
        </a:xfrm>
        <a:prstGeom prst="rect">
          <a:avLst/>
        </a:prstGeom>
        <a:solidFill>
          <a:schemeClr val="bg2"/>
        </a:solidFill>
        <a:ln w="12700" cmpd="sng">
          <a:noFill/>
          <a:prstDash val="soli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overflow" horzOverflow="overflow" wrap="none" tIns="180000" bIns="180000" rtlCol="0" anchor="ctr">
          <a:noAutofit/>
        </a:bodyPr>
        <a:lstStyle/>
        <a:p>
          <a:pPr algn="l"/>
          <a:r>
            <a:rPr lang="pt-BR" sz="1100"/>
            <a:t>D:\02-BASES\05-SISREG\00-ANTERIORES</a:t>
          </a:r>
        </a:p>
      </xdr:txBody>
    </xdr:sp>
    <xdr:clientData/>
  </xdr:twoCellAnchor>
  <xdr:twoCellAnchor editAs="oneCell">
    <xdr:from>
      <xdr:col>10</xdr:col>
      <xdr:colOff>0</xdr:colOff>
      <xdr:row>17</xdr:row>
      <xdr:rowOff>0</xdr:rowOff>
    </xdr:from>
    <xdr:to>
      <xdr:col>20</xdr:col>
      <xdr:colOff>171450</xdr:colOff>
      <xdr:row>18</xdr:row>
      <xdr:rowOff>0</xdr:rowOff>
    </xdr:to>
    <xdr:sp macro="[0]!SelectTarget" textlink="">
      <xdr:nvSpPr>
        <xdr:cNvPr id="9" name="TargetBtn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 txBox="1"/>
      </xdr:nvSpPr>
      <xdr:spPr>
        <a:xfrm>
          <a:off x="2295525" y="2562225"/>
          <a:ext cx="1981200" cy="314325"/>
        </a:xfrm>
        <a:prstGeom prst="rect">
          <a:avLst/>
        </a:prstGeom>
        <a:solidFill>
          <a:schemeClr val="bg2"/>
        </a:solidFill>
        <a:ln w="12700" cmpd="sng">
          <a:noFill/>
          <a:prstDash val="soli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overflow" horzOverflow="overflow" wrap="none" tIns="180000" bIns="180000" rtlCol="0" anchor="ctr">
          <a:noAutofit/>
        </a:bodyPr>
        <a:lstStyle/>
        <a:p>
          <a:pPr algn="l"/>
          <a:r>
            <a:rPr lang="pt-BR" sz="1100"/>
            <a:t>D:\02-BASES\05-SISREG\Export</a:t>
          </a:r>
        </a:p>
      </xdr:txBody>
    </xdr:sp>
    <xdr:clientData/>
  </xdr:twoCellAnchor>
  <xdr:twoCellAnchor editAs="oneCell">
    <xdr:from>
      <xdr:col>20</xdr:col>
      <xdr:colOff>0</xdr:colOff>
      <xdr:row>0</xdr:row>
      <xdr:rowOff>0</xdr:rowOff>
    </xdr:from>
    <xdr:to>
      <xdr:col>28</xdr:col>
      <xdr:colOff>0</xdr:colOff>
      <xdr:row>1</xdr:row>
      <xdr:rowOff>0</xdr:rowOff>
    </xdr:to>
    <xdr:sp macro="[0]!BaseLoad" textlink="">
      <xdr:nvSpPr>
        <xdr:cNvPr id="10" name="LoadBtn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 txBox="1"/>
      </xdr:nvSpPr>
      <xdr:spPr>
        <a:xfrm>
          <a:off x="3619500" y="0"/>
          <a:ext cx="1447800" cy="438150"/>
        </a:xfrm>
        <a:prstGeom prst="rect">
          <a:avLst/>
        </a:prstGeom>
        <a:noFill/>
        <a:ln w="38100" cmpd="sng">
          <a:noFill/>
          <a:prstDash val="soli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>
              <a:solidFill>
                <a:schemeClr val="bg1"/>
              </a:solidFill>
            </a:rPr>
            <a:t>Carregar</a:t>
          </a:r>
          <a:r>
            <a:rPr lang="pt-BR" sz="1100" baseline="0">
              <a:solidFill>
                <a:schemeClr val="bg1"/>
              </a:solidFill>
            </a:rPr>
            <a:t> Bases</a:t>
          </a:r>
          <a:endParaRPr lang="pt-BR" sz="11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6</xdr:row>
          <xdr:rowOff>0</xdr:rowOff>
        </xdr:from>
        <xdr:to>
          <xdr:col>28</xdr:col>
          <xdr:colOff>0</xdr:colOff>
          <xdr:row>7</xdr:row>
          <xdr:rowOff>0</xdr:rowOff>
        </xdr:to>
        <xdr:sp macro="" textlink="">
          <xdr:nvSpPr>
            <xdr:cNvPr id="1032" name="DEF_DUP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7</xdr:row>
          <xdr:rowOff>0</xdr:rowOff>
        </xdr:from>
        <xdr:to>
          <xdr:col>28</xdr:col>
          <xdr:colOff>0</xdr:colOff>
          <xdr:row>8</xdr:row>
          <xdr:rowOff>0</xdr:rowOff>
        </xdr:to>
        <xdr:sp macro="" textlink="">
          <xdr:nvSpPr>
            <xdr:cNvPr id="1033" name="DEF_UNI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0</xdr:colOff>
          <xdr:row>6</xdr:row>
          <xdr:rowOff>0</xdr:rowOff>
        </xdr:from>
        <xdr:to>
          <xdr:col>36</xdr:col>
          <xdr:colOff>0</xdr:colOff>
          <xdr:row>7</xdr:row>
          <xdr:rowOff>0</xdr:rowOff>
        </xdr:to>
        <xdr:sp macro="" textlink="">
          <xdr:nvSpPr>
            <xdr:cNvPr id="1034" name="DEF_COL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0</xdr:colOff>
          <xdr:row>7</xdr:row>
          <xdr:rowOff>0</xdr:rowOff>
        </xdr:from>
        <xdr:to>
          <xdr:col>36</xdr:col>
          <xdr:colOff>0</xdr:colOff>
          <xdr:row>8</xdr:row>
          <xdr:rowOff>0</xdr:rowOff>
        </xdr:to>
        <xdr:sp macro="" textlink="">
          <xdr:nvSpPr>
            <xdr:cNvPr id="1035" name="DEF_TIP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0</xdr:colOff>
          <xdr:row>8</xdr:row>
          <xdr:rowOff>0</xdr:rowOff>
        </xdr:from>
        <xdr:to>
          <xdr:col>36</xdr:col>
          <xdr:colOff>0</xdr:colOff>
          <xdr:row>9</xdr:row>
          <xdr:rowOff>0</xdr:rowOff>
        </xdr:to>
        <xdr:sp macro="" textlink="">
          <xdr:nvSpPr>
            <xdr:cNvPr id="1036" name="DEF_TAM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0</xdr:colOff>
          <xdr:row>9</xdr:row>
          <xdr:rowOff>0</xdr:rowOff>
        </xdr:from>
        <xdr:to>
          <xdr:col>36</xdr:col>
          <xdr:colOff>0</xdr:colOff>
          <xdr:row>10</xdr:row>
          <xdr:rowOff>0</xdr:rowOff>
        </xdr:to>
        <xdr:sp macro="" textlink="">
          <xdr:nvSpPr>
            <xdr:cNvPr id="1037" name="DEF_NUL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6</xdr:row>
          <xdr:rowOff>0</xdr:rowOff>
        </xdr:from>
        <xdr:to>
          <xdr:col>18</xdr:col>
          <xdr:colOff>114300</xdr:colOff>
          <xdr:row>7</xdr:row>
          <xdr:rowOff>0</xdr:rowOff>
        </xdr:to>
        <xdr:sp macro="" textlink="">
          <xdr:nvSpPr>
            <xdr:cNvPr id="1038" name="DEF_VAL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7</xdr:row>
          <xdr:rowOff>0</xdr:rowOff>
        </xdr:from>
        <xdr:to>
          <xdr:col>18</xdr:col>
          <xdr:colOff>114300</xdr:colOff>
          <xdr:row>8</xdr:row>
          <xdr:rowOff>0</xdr:rowOff>
        </xdr:to>
        <xdr:sp macro="" textlink="">
          <xdr:nvSpPr>
            <xdr:cNvPr id="1039" name="DEF_EXP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8</xdr:row>
          <xdr:rowOff>0</xdr:rowOff>
        </xdr:from>
        <xdr:to>
          <xdr:col>18</xdr:col>
          <xdr:colOff>114300</xdr:colOff>
          <xdr:row>9</xdr:row>
          <xdr:rowOff>0</xdr:rowOff>
        </xdr:to>
        <xdr:sp macro="" textlink="">
          <xdr:nvSpPr>
            <xdr:cNvPr id="1040" name="DEF_SQL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9</xdr:row>
          <xdr:rowOff>0</xdr:rowOff>
        </xdr:from>
        <xdr:to>
          <xdr:col>18</xdr:col>
          <xdr:colOff>114300</xdr:colOff>
          <xdr:row>10</xdr:row>
          <xdr:rowOff>0</xdr:rowOff>
        </xdr:to>
        <xdr:sp macro="" textlink="">
          <xdr:nvSpPr>
            <xdr:cNvPr id="1041" name="DEF_TMP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ctrlProp" Target="../ctrlProps/ctrlProp5.xml"/><Relationship Id="rId18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trlProp" Target="../ctrlProps/ctrlProp4.xml"/><Relationship Id="rId17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8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trlProp" Target="../ctrlProps/ctrlProp3.xml"/><Relationship Id="rId5" Type="http://schemas.openxmlformats.org/officeDocument/2006/relationships/image" Target="../media/image1.emf"/><Relationship Id="rId15" Type="http://schemas.openxmlformats.org/officeDocument/2006/relationships/ctrlProp" Target="../ctrlProps/ctrlProp7.xml"/><Relationship Id="rId10" Type="http://schemas.openxmlformats.org/officeDocument/2006/relationships/ctrlProp" Target="../ctrlProps/ctrlProp2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1.xml"/><Relationship Id="rId14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me"/>
  <dimension ref="A1:AN151"/>
  <sheetViews>
    <sheetView showGridLines="0" showRowColHeaders="0" tabSelected="1" workbookViewId="0">
      <selection activeCell="V9" sqref="V9"/>
    </sheetView>
  </sheetViews>
  <sheetFormatPr defaultRowHeight="15" x14ac:dyDescent="0.25"/>
  <cols>
    <col min="1" max="40" width="2.7109375" customWidth="1"/>
    <col min="42" max="42" width="2.7109375" customWidth="1"/>
    <col min="43" max="43" width="20.7109375" customWidth="1"/>
    <col min="44" max="44" width="2.7109375" customWidth="1"/>
  </cols>
  <sheetData>
    <row r="1" spans="1:40" s="4" customFormat="1" ht="35.1" customHeight="1" x14ac:dyDescent="0.25">
      <c r="A1" s="4" t="s">
        <v>2</v>
      </c>
      <c r="U1" s="10"/>
      <c r="AB1" s="11"/>
      <c r="AD1" s="10"/>
      <c r="AK1" s="11"/>
    </row>
    <row r="2" spans="1:40" ht="9.9499999999999993" customHeight="1" x14ac:dyDescent="0.25">
      <c r="A2" s="5" t="str">
        <f>IF(DEF_SQL,"Exportar e atualizar","Somente Exportar")</f>
        <v>Exportar e atualizar</v>
      </c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</row>
    <row r="3" spans="1:40" ht="9.9499999999999993" customHeight="1" x14ac:dyDescent="0.25">
      <c r="A3" s="5"/>
      <c r="B3" s="5"/>
      <c r="C3" s="5"/>
      <c r="D3" s="5"/>
      <c r="E3" s="5"/>
      <c r="F3" s="5"/>
      <c r="G3" s="5"/>
      <c r="H3" s="5"/>
      <c r="I3" s="5"/>
      <c r="J3" s="5"/>
      <c r="K3" s="34" t="s">
        <v>152</v>
      </c>
      <c r="L3" s="34"/>
      <c r="M3" s="34"/>
      <c r="N3" s="34" t="s">
        <v>153</v>
      </c>
      <c r="O3" s="34"/>
      <c r="P3" s="34"/>
      <c r="Q3" s="34" t="s">
        <v>154</v>
      </c>
      <c r="R3" s="34"/>
      <c r="S3" s="34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</row>
    <row r="4" spans="1:40" ht="15" customHeight="1" x14ac:dyDescent="0.25">
      <c r="C4" s="12"/>
      <c r="D4" s="12"/>
      <c r="E4" s="12"/>
      <c r="F4" s="12"/>
      <c r="G4" s="12"/>
      <c r="H4" s="12"/>
      <c r="I4" s="12"/>
      <c r="J4" s="9" t="s">
        <v>3</v>
      </c>
      <c r="K4" s="14"/>
      <c r="L4" s="18"/>
      <c r="M4" s="16"/>
      <c r="N4" s="17"/>
      <c r="O4" s="18"/>
      <c r="P4" s="16"/>
      <c r="Q4" s="14"/>
      <c r="R4" s="15"/>
      <c r="S4" s="16"/>
    </row>
    <row r="5" spans="1:40" ht="9.9499999999999993" customHeight="1" x14ac:dyDescent="0.25"/>
    <row r="6" spans="1:40" ht="20.100000000000001" customHeight="1" x14ac:dyDescent="0.25">
      <c r="J6" s="9" t="s">
        <v>151</v>
      </c>
      <c r="K6" s="31" t="s">
        <v>26</v>
      </c>
      <c r="L6" s="32"/>
      <c r="M6" s="32"/>
      <c r="N6" s="32"/>
      <c r="O6" s="32"/>
      <c r="P6" s="32"/>
      <c r="Q6" s="32"/>
      <c r="R6" s="32"/>
      <c r="S6" s="33"/>
      <c r="U6" s="31" t="s">
        <v>23</v>
      </c>
      <c r="V6" s="32"/>
      <c r="W6" s="32"/>
      <c r="X6" s="32"/>
      <c r="Y6" s="32"/>
      <c r="Z6" s="32"/>
      <c r="AA6" s="32"/>
      <c r="AB6" s="33"/>
      <c r="AC6" s="21"/>
      <c r="AD6" s="31" t="s">
        <v>24</v>
      </c>
      <c r="AE6" s="32"/>
      <c r="AF6" s="32"/>
      <c r="AG6" s="32"/>
      <c r="AH6" s="32"/>
      <c r="AI6" s="32"/>
      <c r="AJ6" s="32"/>
      <c r="AK6" s="33"/>
    </row>
    <row r="7" spans="1:40" ht="15" customHeight="1" x14ac:dyDescent="0.25">
      <c r="K7" s="22"/>
      <c r="L7" s="13" t="s">
        <v>27</v>
      </c>
      <c r="M7" s="13"/>
      <c r="N7" s="13"/>
      <c r="O7" s="13"/>
      <c r="P7" s="13"/>
      <c r="Q7" s="13"/>
      <c r="R7" s="13"/>
      <c r="S7" s="23"/>
      <c r="T7" s="5" t="b">
        <v>0</v>
      </c>
      <c r="U7" s="22"/>
      <c r="V7" s="13" t="s">
        <v>19</v>
      </c>
      <c r="W7" s="27"/>
      <c r="AB7" s="28"/>
      <c r="AC7" s="5" t="b">
        <v>1</v>
      </c>
      <c r="AD7" s="22"/>
      <c r="AE7" s="13" t="s">
        <v>25</v>
      </c>
      <c r="AK7" s="28"/>
      <c r="AL7" s="5" t="b">
        <v>1</v>
      </c>
    </row>
    <row r="8" spans="1:40" ht="15" customHeight="1" x14ac:dyDescent="0.25">
      <c r="K8" s="22"/>
      <c r="L8" s="13" t="s">
        <v>29</v>
      </c>
      <c r="M8" s="13"/>
      <c r="N8" s="13"/>
      <c r="O8" s="13"/>
      <c r="P8" s="13"/>
      <c r="Q8" s="13"/>
      <c r="R8" s="13"/>
      <c r="S8" s="23"/>
      <c r="T8" s="5" t="b">
        <v>1</v>
      </c>
      <c r="U8" s="22"/>
      <c r="V8" s="13" t="s">
        <v>18</v>
      </c>
      <c r="W8" s="27"/>
      <c r="AB8" s="28"/>
      <c r="AC8" s="5" t="b">
        <v>1</v>
      </c>
      <c r="AD8" s="22"/>
      <c r="AE8" s="13" t="s">
        <v>20</v>
      </c>
      <c r="AK8" s="28"/>
      <c r="AL8" s="5" t="b">
        <v>1</v>
      </c>
    </row>
    <row r="9" spans="1:40" ht="15" customHeight="1" x14ac:dyDescent="0.35">
      <c r="K9" s="22"/>
      <c r="L9" s="13" t="s">
        <v>30</v>
      </c>
      <c r="M9" s="13"/>
      <c r="N9" s="13"/>
      <c r="O9" s="13"/>
      <c r="P9" s="13"/>
      <c r="Q9" s="13"/>
      <c r="R9" s="13"/>
      <c r="S9" s="23"/>
      <c r="T9" s="5" t="b">
        <v>1</v>
      </c>
      <c r="U9" s="35"/>
      <c r="AB9" s="28"/>
      <c r="AD9" s="22"/>
      <c r="AE9" t="s">
        <v>21</v>
      </c>
      <c r="AK9" s="28"/>
      <c r="AL9" s="5" t="b">
        <v>1</v>
      </c>
    </row>
    <row r="10" spans="1:40" ht="15" customHeight="1" x14ac:dyDescent="0.25">
      <c r="K10" s="24"/>
      <c r="L10" s="25" t="s">
        <v>28</v>
      </c>
      <c r="M10" s="25"/>
      <c r="N10" s="25"/>
      <c r="O10" s="25"/>
      <c r="P10" s="25"/>
      <c r="Q10" s="25"/>
      <c r="R10" s="25"/>
      <c r="S10" s="26"/>
      <c r="T10" s="5" t="b">
        <v>1</v>
      </c>
      <c r="U10" s="24"/>
      <c r="V10" s="29"/>
      <c r="W10" s="29"/>
      <c r="X10" s="29"/>
      <c r="Y10" s="29"/>
      <c r="Z10" s="29"/>
      <c r="AA10" s="29"/>
      <c r="AB10" s="30"/>
      <c r="AD10" s="24"/>
      <c r="AE10" s="29" t="s">
        <v>22</v>
      </c>
      <c r="AF10" s="29"/>
      <c r="AG10" s="29"/>
      <c r="AH10" s="29"/>
      <c r="AI10" s="29"/>
      <c r="AJ10" s="29"/>
      <c r="AK10" s="30"/>
      <c r="AL10" s="5" t="b">
        <v>1</v>
      </c>
    </row>
    <row r="11" spans="1:40" ht="9.9499999999999993" customHeight="1" x14ac:dyDescent="0.25"/>
    <row r="12" spans="1:40" ht="24.95" customHeight="1" x14ac:dyDescent="0.25">
      <c r="C12" s="12"/>
      <c r="D12" s="12"/>
      <c r="E12" s="12"/>
      <c r="F12" s="12"/>
      <c r="G12" s="12"/>
      <c r="H12" s="12"/>
      <c r="I12" s="12"/>
      <c r="J12" s="9" t="s">
        <v>0</v>
      </c>
      <c r="K12" s="2"/>
      <c r="L12" s="2"/>
      <c r="M12" s="3"/>
      <c r="N12" s="3"/>
      <c r="O12" s="3"/>
      <c r="P12" s="3"/>
      <c r="Q12" s="3"/>
      <c r="R12" s="3"/>
      <c r="S12" s="3"/>
      <c r="T12" s="3"/>
      <c r="U12" s="3"/>
      <c r="V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</row>
    <row r="13" spans="1:40" ht="9.9499999999999993" customHeight="1" x14ac:dyDescent="0.25">
      <c r="C13" s="19"/>
      <c r="D13" s="19"/>
      <c r="E13" s="19"/>
      <c r="F13" s="19"/>
      <c r="G13" s="19"/>
      <c r="H13" s="19"/>
      <c r="I13" s="19"/>
      <c r="J13" s="20"/>
      <c r="L13" s="1"/>
    </row>
    <row r="14" spans="1:40" ht="24.95" customHeight="1" x14ac:dyDescent="0.25">
      <c r="C14" s="12"/>
      <c r="D14" s="12"/>
      <c r="E14" s="12"/>
      <c r="F14" s="12"/>
      <c r="G14" s="12"/>
      <c r="H14" s="12"/>
      <c r="I14" s="12"/>
      <c r="J14" s="9" t="s">
        <v>1</v>
      </c>
      <c r="K14" s="2"/>
      <c r="L14" s="2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</row>
    <row r="15" spans="1:40" ht="9.9499999999999993" customHeight="1" x14ac:dyDescent="0.25">
      <c r="C15" s="19"/>
      <c r="D15" s="19"/>
      <c r="E15" s="19"/>
      <c r="F15" s="19"/>
      <c r="G15" s="19"/>
      <c r="H15" s="19"/>
      <c r="I15" s="19"/>
      <c r="J15" s="20"/>
      <c r="L15" s="1"/>
    </row>
    <row r="16" spans="1:40" ht="24.95" customHeight="1" x14ac:dyDescent="0.25">
      <c r="C16" s="12"/>
      <c r="D16" s="12"/>
      <c r="E16" s="12"/>
      <c r="F16" s="12"/>
      <c r="G16" s="12"/>
      <c r="H16" s="12"/>
      <c r="I16" s="12"/>
      <c r="J16" s="9" t="s">
        <v>16</v>
      </c>
      <c r="K16" s="2"/>
      <c r="L16" s="2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</row>
    <row r="17" spans="3:37" ht="9.9499999999999993" customHeight="1" x14ac:dyDescent="0.25">
      <c r="C17" s="19"/>
      <c r="D17" s="19"/>
      <c r="E17" s="19"/>
      <c r="F17" s="19"/>
      <c r="G17" s="19"/>
      <c r="H17" s="19"/>
      <c r="I17" s="19"/>
      <c r="J17" s="20"/>
      <c r="L17" s="1"/>
    </row>
    <row r="18" spans="3:37" ht="24.95" customHeight="1" x14ac:dyDescent="0.25">
      <c r="C18" s="12"/>
      <c r="D18" s="12"/>
      <c r="E18" s="12"/>
      <c r="F18" s="12"/>
      <c r="G18" s="12"/>
      <c r="H18" s="12"/>
      <c r="I18" s="12"/>
      <c r="J18" s="9"/>
      <c r="K18" s="2"/>
      <c r="L18" s="2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</row>
    <row r="20" spans="3:37" x14ac:dyDescent="0.25">
      <c r="K20" t="s">
        <v>156</v>
      </c>
    </row>
    <row r="21" spans="3:37" x14ac:dyDescent="0.25">
      <c r="K21" t="s">
        <v>157</v>
      </c>
    </row>
    <row r="22" spans="3:37" x14ac:dyDescent="0.25">
      <c r="K22" t="s">
        <v>158</v>
      </c>
    </row>
    <row r="23" spans="3:37" x14ac:dyDescent="0.25">
      <c r="K23" t="s">
        <v>159</v>
      </c>
    </row>
    <row r="24" spans="3:37" x14ac:dyDescent="0.25">
      <c r="K24" t="s">
        <v>160</v>
      </c>
    </row>
    <row r="25" spans="3:37" x14ac:dyDescent="0.25">
      <c r="K25" t="s">
        <v>161</v>
      </c>
    </row>
    <row r="26" spans="3:37" x14ac:dyDescent="0.25">
      <c r="K26" t="s">
        <v>162</v>
      </c>
    </row>
    <row r="27" spans="3:37" x14ac:dyDescent="0.25">
      <c r="K27" t="s">
        <v>163</v>
      </c>
    </row>
    <row r="28" spans="3:37" x14ac:dyDescent="0.25">
      <c r="K28" t="s">
        <v>164</v>
      </c>
      <c r="W28" s="5"/>
    </row>
    <row r="29" spans="3:37" x14ac:dyDescent="0.25">
      <c r="K29" t="s">
        <v>165</v>
      </c>
    </row>
    <row r="30" spans="3:37" x14ac:dyDescent="0.25">
      <c r="K30" t="s">
        <v>166</v>
      </c>
    </row>
    <row r="31" spans="3:37" x14ac:dyDescent="0.25">
      <c r="K31" t="s">
        <v>167</v>
      </c>
    </row>
    <row r="32" spans="3:37" x14ac:dyDescent="0.25">
      <c r="K32" t="s">
        <v>168</v>
      </c>
    </row>
    <row r="33" spans="11:11" x14ac:dyDescent="0.25">
      <c r="K33" t="s">
        <v>169</v>
      </c>
    </row>
    <row r="34" spans="11:11" x14ac:dyDescent="0.25">
      <c r="K34" t="s">
        <v>170</v>
      </c>
    </row>
    <row r="35" spans="11:11" x14ac:dyDescent="0.25">
      <c r="K35" t="s">
        <v>171</v>
      </c>
    </row>
    <row r="36" spans="11:11" x14ac:dyDescent="0.25">
      <c r="K36" t="s">
        <v>172</v>
      </c>
    </row>
    <row r="37" spans="11:11" x14ac:dyDescent="0.25">
      <c r="K37" t="s">
        <v>173</v>
      </c>
    </row>
    <row r="38" spans="11:11" x14ac:dyDescent="0.25">
      <c r="K38" t="s">
        <v>174</v>
      </c>
    </row>
    <row r="39" spans="11:11" x14ac:dyDescent="0.25">
      <c r="K39" t="s">
        <v>175</v>
      </c>
    </row>
    <row r="40" spans="11:11" x14ac:dyDescent="0.25">
      <c r="K40" t="s">
        <v>176</v>
      </c>
    </row>
    <row r="41" spans="11:11" x14ac:dyDescent="0.25">
      <c r="K41" t="s">
        <v>177</v>
      </c>
    </row>
    <row r="42" spans="11:11" x14ac:dyDescent="0.25">
      <c r="K42" t="s">
        <v>178</v>
      </c>
    </row>
    <row r="43" spans="11:11" x14ac:dyDescent="0.25">
      <c r="K43" t="s">
        <v>179</v>
      </c>
    </row>
    <row r="44" spans="11:11" x14ac:dyDescent="0.25">
      <c r="K44" t="s">
        <v>180</v>
      </c>
    </row>
    <row r="45" spans="11:11" x14ac:dyDescent="0.25">
      <c r="K45" t="s">
        <v>181</v>
      </c>
    </row>
    <row r="46" spans="11:11" x14ac:dyDescent="0.25">
      <c r="K46" t="s">
        <v>182</v>
      </c>
    </row>
    <row r="47" spans="11:11" x14ac:dyDescent="0.25">
      <c r="K47" t="s">
        <v>183</v>
      </c>
    </row>
    <row r="48" spans="11:11" x14ac:dyDescent="0.25">
      <c r="K48" t="s">
        <v>184</v>
      </c>
    </row>
    <row r="49" spans="11:11" x14ac:dyDescent="0.25">
      <c r="K49" t="s">
        <v>185</v>
      </c>
    </row>
    <row r="50" spans="11:11" x14ac:dyDescent="0.25">
      <c r="K50" t="s">
        <v>186</v>
      </c>
    </row>
    <row r="51" spans="11:11" x14ac:dyDescent="0.25">
      <c r="K51" t="s">
        <v>187</v>
      </c>
    </row>
    <row r="52" spans="11:11" x14ac:dyDescent="0.25">
      <c r="K52" t="s">
        <v>188</v>
      </c>
    </row>
    <row r="53" spans="11:11" x14ac:dyDescent="0.25">
      <c r="K53" t="s">
        <v>189</v>
      </c>
    </row>
    <row r="54" spans="11:11" x14ac:dyDescent="0.25">
      <c r="K54" t="s">
        <v>190</v>
      </c>
    </row>
    <row r="55" spans="11:11" x14ac:dyDescent="0.25">
      <c r="K55" t="s">
        <v>191</v>
      </c>
    </row>
    <row r="56" spans="11:11" x14ac:dyDescent="0.25">
      <c r="K56" t="s">
        <v>192</v>
      </c>
    </row>
    <row r="57" spans="11:11" x14ac:dyDescent="0.25">
      <c r="K57" t="s">
        <v>193</v>
      </c>
    </row>
    <row r="58" spans="11:11" x14ac:dyDescent="0.25">
      <c r="K58" t="s">
        <v>194</v>
      </c>
    </row>
    <row r="59" spans="11:11" x14ac:dyDescent="0.25">
      <c r="K59" t="s">
        <v>195</v>
      </c>
    </row>
    <row r="60" spans="11:11" x14ac:dyDescent="0.25">
      <c r="K60" t="s">
        <v>196</v>
      </c>
    </row>
    <row r="61" spans="11:11" x14ac:dyDescent="0.25">
      <c r="K61" t="s">
        <v>197</v>
      </c>
    </row>
    <row r="62" spans="11:11" x14ac:dyDescent="0.25">
      <c r="K62" t="s">
        <v>198</v>
      </c>
    </row>
    <row r="63" spans="11:11" x14ac:dyDescent="0.25">
      <c r="K63" t="s">
        <v>199</v>
      </c>
    </row>
    <row r="64" spans="11:11" x14ac:dyDescent="0.25">
      <c r="K64" t="s">
        <v>200</v>
      </c>
    </row>
    <row r="65" spans="11:11" x14ac:dyDescent="0.25">
      <c r="K65" t="s">
        <v>201</v>
      </c>
    </row>
    <row r="66" spans="11:11" x14ac:dyDescent="0.25">
      <c r="K66" t="s">
        <v>202</v>
      </c>
    </row>
    <row r="67" spans="11:11" x14ac:dyDescent="0.25">
      <c r="K67" t="s">
        <v>203</v>
      </c>
    </row>
    <row r="68" spans="11:11" x14ac:dyDescent="0.25">
      <c r="K68" t="s">
        <v>204</v>
      </c>
    </row>
    <row r="69" spans="11:11" x14ac:dyDescent="0.25">
      <c r="K69" t="s">
        <v>205</v>
      </c>
    </row>
    <row r="70" spans="11:11" x14ac:dyDescent="0.25">
      <c r="K70" t="s">
        <v>206</v>
      </c>
    </row>
    <row r="71" spans="11:11" x14ac:dyDescent="0.25">
      <c r="K71" t="s">
        <v>207</v>
      </c>
    </row>
    <row r="72" spans="11:11" x14ac:dyDescent="0.25">
      <c r="K72" t="s">
        <v>208</v>
      </c>
    </row>
    <row r="73" spans="11:11" x14ac:dyDescent="0.25">
      <c r="K73" t="s">
        <v>209</v>
      </c>
    </row>
    <row r="74" spans="11:11" x14ac:dyDescent="0.25">
      <c r="K74" t="s">
        <v>210</v>
      </c>
    </row>
    <row r="75" spans="11:11" x14ac:dyDescent="0.25">
      <c r="K75" t="s">
        <v>211</v>
      </c>
    </row>
    <row r="76" spans="11:11" x14ac:dyDescent="0.25">
      <c r="K76" t="s">
        <v>212</v>
      </c>
    </row>
    <row r="77" spans="11:11" x14ac:dyDescent="0.25">
      <c r="K77" t="s">
        <v>213</v>
      </c>
    </row>
    <row r="78" spans="11:11" x14ac:dyDescent="0.25">
      <c r="K78" t="s">
        <v>214</v>
      </c>
    </row>
    <row r="79" spans="11:11" x14ac:dyDescent="0.25">
      <c r="K79" t="s">
        <v>215</v>
      </c>
    </row>
    <row r="80" spans="11:11" x14ac:dyDescent="0.25">
      <c r="K80" t="s">
        <v>216</v>
      </c>
    </row>
    <row r="81" spans="11:11" x14ac:dyDescent="0.25">
      <c r="K81" t="s">
        <v>217</v>
      </c>
    </row>
    <row r="82" spans="11:11" x14ac:dyDescent="0.25">
      <c r="K82" t="s">
        <v>218</v>
      </c>
    </row>
    <row r="83" spans="11:11" x14ac:dyDescent="0.25">
      <c r="K83" t="s">
        <v>219</v>
      </c>
    </row>
    <row r="84" spans="11:11" x14ac:dyDescent="0.25">
      <c r="K84" t="s">
        <v>220</v>
      </c>
    </row>
    <row r="85" spans="11:11" x14ac:dyDescent="0.25">
      <c r="K85" t="s">
        <v>221</v>
      </c>
    </row>
    <row r="86" spans="11:11" x14ac:dyDescent="0.25">
      <c r="K86" t="s">
        <v>222</v>
      </c>
    </row>
    <row r="87" spans="11:11" x14ac:dyDescent="0.25">
      <c r="K87" t="s">
        <v>223</v>
      </c>
    </row>
    <row r="88" spans="11:11" x14ac:dyDescent="0.25">
      <c r="K88" t="s">
        <v>224</v>
      </c>
    </row>
    <row r="89" spans="11:11" x14ac:dyDescent="0.25">
      <c r="K89" t="s">
        <v>225</v>
      </c>
    </row>
    <row r="90" spans="11:11" x14ac:dyDescent="0.25">
      <c r="K90" t="s">
        <v>226</v>
      </c>
    </row>
    <row r="91" spans="11:11" x14ac:dyDescent="0.25">
      <c r="K91" t="s">
        <v>227</v>
      </c>
    </row>
    <row r="92" spans="11:11" x14ac:dyDescent="0.25">
      <c r="K92" t="s">
        <v>228</v>
      </c>
    </row>
    <row r="93" spans="11:11" x14ac:dyDescent="0.25">
      <c r="K93" t="s">
        <v>229</v>
      </c>
    </row>
    <row r="94" spans="11:11" x14ac:dyDescent="0.25">
      <c r="K94" t="s">
        <v>230</v>
      </c>
    </row>
    <row r="95" spans="11:11" x14ac:dyDescent="0.25">
      <c r="K95" t="s">
        <v>231</v>
      </c>
    </row>
    <row r="96" spans="11:11" x14ac:dyDescent="0.25">
      <c r="K96" t="s">
        <v>232</v>
      </c>
    </row>
    <row r="97" spans="11:11" x14ac:dyDescent="0.25">
      <c r="K97" t="s">
        <v>233</v>
      </c>
    </row>
    <row r="98" spans="11:11" x14ac:dyDescent="0.25">
      <c r="K98" t="s">
        <v>234</v>
      </c>
    </row>
    <row r="99" spans="11:11" x14ac:dyDescent="0.25">
      <c r="K99" t="s">
        <v>235</v>
      </c>
    </row>
    <row r="100" spans="11:11" x14ac:dyDescent="0.25">
      <c r="K100" t="s">
        <v>236</v>
      </c>
    </row>
    <row r="101" spans="11:11" x14ac:dyDescent="0.25">
      <c r="K101" t="s">
        <v>237</v>
      </c>
    </row>
    <row r="102" spans="11:11" x14ac:dyDescent="0.25">
      <c r="K102" t="s">
        <v>238</v>
      </c>
    </row>
    <row r="103" spans="11:11" x14ac:dyDescent="0.25">
      <c r="K103" t="s">
        <v>239</v>
      </c>
    </row>
    <row r="104" spans="11:11" x14ac:dyDescent="0.25">
      <c r="K104" t="s">
        <v>240</v>
      </c>
    </row>
    <row r="105" spans="11:11" x14ac:dyDescent="0.25">
      <c r="K105" t="s">
        <v>241</v>
      </c>
    </row>
    <row r="106" spans="11:11" x14ac:dyDescent="0.25">
      <c r="K106" t="s">
        <v>242</v>
      </c>
    </row>
    <row r="107" spans="11:11" x14ac:dyDescent="0.25">
      <c r="K107" t="s">
        <v>243</v>
      </c>
    </row>
    <row r="108" spans="11:11" x14ac:dyDescent="0.25">
      <c r="K108" t="s">
        <v>244</v>
      </c>
    </row>
    <row r="109" spans="11:11" x14ac:dyDescent="0.25">
      <c r="K109" t="s">
        <v>245</v>
      </c>
    </row>
    <row r="110" spans="11:11" x14ac:dyDescent="0.25">
      <c r="K110" t="s">
        <v>246</v>
      </c>
    </row>
    <row r="111" spans="11:11" x14ac:dyDescent="0.25">
      <c r="K111" t="s">
        <v>247</v>
      </c>
    </row>
    <row r="112" spans="11:11" x14ac:dyDescent="0.25">
      <c r="K112" t="s">
        <v>248</v>
      </c>
    </row>
    <row r="113" spans="11:11" x14ac:dyDescent="0.25">
      <c r="K113" t="s">
        <v>249</v>
      </c>
    </row>
    <row r="114" spans="11:11" x14ac:dyDescent="0.25">
      <c r="K114" t="s">
        <v>250</v>
      </c>
    </row>
    <row r="115" spans="11:11" x14ac:dyDescent="0.25">
      <c r="K115" t="s">
        <v>251</v>
      </c>
    </row>
    <row r="116" spans="11:11" x14ac:dyDescent="0.25">
      <c r="K116" t="s">
        <v>252</v>
      </c>
    </row>
    <row r="117" spans="11:11" x14ac:dyDescent="0.25">
      <c r="K117" t="s">
        <v>253</v>
      </c>
    </row>
    <row r="118" spans="11:11" x14ac:dyDescent="0.25">
      <c r="K118" t="s">
        <v>254</v>
      </c>
    </row>
    <row r="119" spans="11:11" x14ac:dyDescent="0.25">
      <c r="K119" t="s">
        <v>255</v>
      </c>
    </row>
    <row r="120" spans="11:11" x14ac:dyDescent="0.25">
      <c r="K120" t="s">
        <v>256</v>
      </c>
    </row>
    <row r="121" spans="11:11" x14ac:dyDescent="0.25">
      <c r="K121" t="s">
        <v>257</v>
      </c>
    </row>
    <row r="122" spans="11:11" x14ac:dyDescent="0.25">
      <c r="K122" t="s">
        <v>258</v>
      </c>
    </row>
    <row r="123" spans="11:11" x14ac:dyDescent="0.25">
      <c r="K123" t="s">
        <v>259</v>
      </c>
    </row>
    <row r="124" spans="11:11" x14ac:dyDescent="0.25">
      <c r="K124" t="s">
        <v>260</v>
      </c>
    </row>
    <row r="125" spans="11:11" x14ac:dyDescent="0.25">
      <c r="K125" t="s">
        <v>261</v>
      </c>
    </row>
    <row r="126" spans="11:11" x14ac:dyDescent="0.25">
      <c r="K126" t="s">
        <v>262</v>
      </c>
    </row>
    <row r="127" spans="11:11" x14ac:dyDescent="0.25">
      <c r="K127" t="s">
        <v>263</v>
      </c>
    </row>
    <row r="128" spans="11:11" x14ac:dyDescent="0.25">
      <c r="K128" t="s">
        <v>264</v>
      </c>
    </row>
    <row r="129" spans="11:11" x14ac:dyDescent="0.25">
      <c r="K129" t="s">
        <v>265</v>
      </c>
    </row>
    <row r="130" spans="11:11" x14ac:dyDescent="0.25">
      <c r="K130" t="s">
        <v>266</v>
      </c>
    </row>
    <row r="131" spans="11:11" x14ac:dyDescent="0.25">
      <c r="K131" t="s">
        <v>267</v>
      </c>
    </row>
    <row r="132" spans="11:11" x14ac:dyDescent="0.25">
      <c r="K132" t="s">
        <v>268</v>
      </c>
    </row>
    <row r="133" spans="11:11" x14ac:dyDescent="0.25">
      <c r="K133" t="s">
        <v>269</v>
      </c>
    </row>
    <row r="134" spans="11:11" x14ac:dyDescent="0.25">
      <c r="K134" t="s">
        <v>270</v>
      </c>
    </row>
    <row r="135" spans="11:11" x14ac:dyDescent="0.25">
      <c r="K135" t="s">
        <v>271</v>
      </c>
    </row>
    <row r="136" spans="11:11" x14ac:dyDescent="0.25">
      <c r="K136" t="s">
        <v>272</v>
      </c>
    </row>
    <row r="137" spans="11:11" x14ac:dyDescent="0.25">
      <c r="K137" t="s">
        <v>273</v>
      </c>
    </row>
    <row r="138" spans="11:11" x14ac:dyDescent="0.25">
      <c r="K138" t="s">
        <v>274</v>
      </c>
    </row>
    <row r="139" spans="11:11" x14ac:dyDescent="0.25">
      <c r="K139" t="s">
        <v>275</v>
      </c>
    </row>
    <row r="140" spans="11:11" x14ac:dyDescent="0.25">
      <c r="K140" t="s">
        <v>276</v>
      </c>
    </row>
    <row r="141" spans="11:11" x14ac:dyDescent="0.25">
      <c r="K141" t="s">
        <v>277</v>
      </c>
    </row>
    <row r="142" spans="11:11" x14ac:dyDescent="0.25">
      <c r="K142" t="s">
        <v>278</v>
      </c>
    </row>
    <row r="143" spans="11:11" x14ac:dyDescent="0.25">
      <c r="K143" t="s">
        <v>279</v>
      </c>
    </row>
    <row r="144" spans="11:11" x14ac:dyDescent="0.25">
      <c r="K144" t="s">
        <v>280</v>
      </c>
    </row>
    <row r="145" spans="11:11" x14ac:dyDescent="0.25">
      <c r="K145" t="s">
        <v>281</v>
      </c>
    </row>
    <row r="146" spans="11:11" x14ac:dyDescent="0.25">
      <c r="K146" t="s">
        <v>282</v>
      </c>
    </row>
    <row r="147" spans="11:11" x14ac:dyDescent="0.25">
      <c r="K147" t="s">
        <v>283</v>
      </c>
    </row>
    <row r="148" spans="11:11" x14ac:dyDescent="0.25">
      <c r="K148" t="s">
        <v>284</v>
      </c>
    </row>
    <row r="149" spans="11:11" x14ac:dyDescent="0.25">
      <c r="K149" t="s">
        <v>285</v>
      </c>
    </row>
    <row r="150" spans="11:11" x14ac:dyDescent="0.25">
      <c r="K150" t="s">
        <v>286</v>
      </c>
    </row>
    <row r="151" spans="11:11" x14ac:dyDescent="0.25">
      <c r="K151" t="s">
        <v>287</v>
      </c>
    </row>
  </sheetData>
  <mergeCells count="6">
    <mergeCell ref="AD6:AK6"/>
    <mergeCell ref="K3:M3"/>
    <mergeCell ref="N3:P3"/>
    <mergeCell ref="Q3:S3"/>
    <mergeCell ref="K6:S6"/>
    <mergeCell ref="U6:AB6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ComboBox1">
          <controlPr defaultSize="0" autoLine="0" autoPict="0" linkedCell="SEL_ANO" listFillRange="DEF_ANO" r:id="rId5">
            <anchor moveWithCells="1">
              <from>
                <xdr:col>10</xdr:col>
                <xdr:colOff>0</xdr:colOff>
                <xdr:row>3</xdr:row>
                <xdr:rowOff>0</xdr:rowOff>
              </from>
              <to>
                <xdr:col>13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1026" r:id="rId4" name="ComboBox1"/>
      </mc:Fallback>
    </mc:AlternateContent>
    <mc:AlternateContent xmlns:mc="http://schemas.openxmlformats.org/markup-compatibility/2006">
      <mc:Choice Requires="x14">
        <control shapeId="1027" r:id="rId6" name="ComboBox2">
          <controlPr defaultSize="0" autoLine="0" linkedCell="SEL_MES" listFillRange="DEF_MES" r:id="rId7">
            <anchor moveWithCells="1">
              <from>
                <xdr:col>13</xdr:col>
                <xdr:colOff>0</xdr:colOff>
                <xdr:row>3</xdr:row>
                <xdr:rowOff>0</xdr:rowOff>
              </from>
              <to>
                <xdr:col>16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1027" r:id="rId6" name="ComboBox2"/>
      </mc:Fallback>
    </mc:AlternateContent>
    <mc:AlternateContent xmlns:mc="http://schemas.openxmlformats.org/markup-compatibility/2006">
      <mc:Choice Requires="x14">
        <control shapeId="1028" r:id="rId8" name="ComboBox3">
          <controlPr defaultSize="0" autoLine="0" autoPict="0" linkedCell="SEL_DIA" listFillRange="DEF_DIA" r:id="rId7">
            <anchor moveWithCells="1">
              <from>
                <xdr:col>16</xdr:col>
                <xdr:colOff>0</xdr:colOff>
                <xdr:row>3</xdr:row>
                <xdr:rowOff>0</xdr:rowOff>
              </from>
              <to>
                <xdr:col>19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1028" r:id="rId8" name="ComboBox3"/>
      </mc:Fallback>
    </mc:AlternateContent>
    <mc:AlternateContent xmlns:mc="http://schemas.openxmlformats.org/markup-compatibility/2006">
      <mc:Choice Requires="x14">
        <control shapeId="1032" r:id="rId9" name="DEF_DUP">
          <controlPr defaultSize="0" autoFill="0" autoLine="0" autoPict="0">
            <anchor moveWithCells="1">
              <from>
                <xdr:col>20</xdr:col>
                <xdr:colOff>0</xdr:colOff>
                <xdr:row>6</xdr:row>
                <xdr:rowOff>0</xdr:rowOff>
              </from>
              <to>
                <xdr:col>28</xdr:col>
                <xdr:colOff>0</xdr:colOff>
                <xdr:row>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10" name="DEF_UNI">
          <controlPr defaultSize="0" autoFill="0" autoLine="0" autoPict="0">
            <anchor moveWithCells="1">
              <from>
                <xdr:col>20</xdr:col>
                <xdr:colOff>0</xdr:colOff>
                <xdr:row>7</xdr:row>
                <xdr:rowOff>0</xdr:rowOff>
              </from>
              <to>
                <xdr:col>28</xdr:col>
                <xdr:colOff>0</xdr:colOff>
                <xdr:row>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11" name="DEF_COL">
          <controlPr defaultSize="0" autoFill="0" autoLine="0" autoPict="0">
            <anchor moveWithCells="1">
              <from>
                <xdr:col>29</xdr:col>
                <xdr:colOff>0</xdr:colOff>
                <xdr:row>6</xdr:row>
                <xdr:rowOff>0</xdr:rowOff>
              </from>
              <to>
                <xdr:col>36</xdr:col>
                <xdr:colOff>0</xdr:colOff>
                <xdr:row>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5" r:id="rId12" name="DEF_TIP">
          <controlPr defaultSize="0" autoFill="0" autoLine="0" autoPict="0">
            <anchor moveWithCells="1">
              <from>
                <xdr:col>29</xdr:col>
                <xdr:colOff>0</xdr:colOff>
                <xdr:row>7</xdr:row>
                <xdr:rowOff>0</xdr:rowOff>
              </from>
              <to>
                <xdr:col>36</xdr:col>
                <xdr:colOff>0</xdr:colOff>
                <xdr:row>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6" r:id="rId13" name="DEF_TAM">
          <controlPr defaultSize="0" autoFill="0" autoLine="0" autoPict="0">
            <anchor moveWithCells="1">
              <from>
                <xdr:col>29</xdr:col>
                <xdr:colOff>0</xdr:colOff>
                <xdr:row>8</xdr:row>
                <xdr:rowOff>0</xdr:rowOff>
              </from>
              <to>
                <xdr:col>36</xdr:col>
                <xdr:colOff>0</xdr:colOff>
                <xdr:row>9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7" r:id="rId14" name="DEF_NUL">
          <controlPr defaultSize="0" autoFill="0" autoLine="0" autoPict="0">
            <anchor moveWithCells="1">
              <from>
                <xdr:col>29</xdr:col>
                <xdr:colOff>0</xdr:colOff>
                <xdr:row>9</xdr:row>
                <xdr:rowOff>0</xdr:rowOff>
              </from>
              <to>
                <xdr:col>36</xdr:col>
                <xdr:colOff>0</xdr:colOff>
                <xdr:row>10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8" r:id="rId15" name="DEF_VAL">
          <controlPr defaultSize="0" autoFill="0" autoLine="0" autoPict="0">
            <anchor moveWithCells="1">
              <from>
                <xdr:col>10</xdr:col>
                <xdr:colOff>0</xdr:colOff>
                <xdr:row>6</xdr:row>
                <xdr:rowOff>0</xdr:rowOff>
              </from>
              <to>
                <xdr:col>18</xdr:col>
                <xdr:colOff>114300</xdr:colOff>
                <xdr:row>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9" r:id="rId16" name="DEF_EXP">
          <controlPr defaultSize="0" autoFill="0" autoLine="0" autoPict="0">
            <anchor moveWithCells="1">
              <from>
                <xdr:col>10</xdr:col>
                <xdr:colOff>0</xdr:colOff>
                <xdr:row>7</xdr:row>
                <xdr:rowOff>0</xdr:rowOff>
              </from>
              <to>
                <xdr:col>18</xdr:col>
                <xdr:colOff>114300</xdr:colOff>
                <xdr:row>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0" r:id="rId17" name="DEF_SQL">
          <controlPr defaultSize="0" autoFill="0" autoLine="0" autoPict="0">
            <anchor moveWithCells="1">
              <from>
                <xdr:col>10</xdr:col>
                <xdr:colOff>0</xdr:colOff>
                <xdr:row>8</xdr:row>
                <xdr:rowOff>0</xdr:rowOff>
              </from>
              <to>
                <xdr:col>18</xdr:col>
                <xdr:colOff>114300</xdr:colOff>
                <xdr:row>9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1" r:id="rId18" name="DEF_TMP">
          <controlPr defaultSize="0" autoFill="0" autoLine="0" autoPict="0">
            <anchor moveWithCells="1">
              <from>
                <xdr:col>10</xdr:col>
                <xdr:colOff>0</xdr:colOff>
                <xdr:row>9</xdr:row>
                <xdr:rowOff>0</xdr:rowOff>
              </from>
              <to>
                <xdr:col>18</xdr:col>
                <xdr:colOff>114300</xdr:colOff>
                <xdr:row>10</xdr:row>
                <xdr:rowOff>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1"/>
  <dimension ref="A1:S270"/>
  <sheetViews>
    <sheetView topLeftCell="A247" workbookViewId="0">
      <selection activeCell="S254" sqref="S254:S270"/>
    </sheetView>
  </sheetViews>
  <sheetFormatPr defaultRowHeight="15" x14ac:dyDescent="0.25"/>
  <cols>
    <col min="1" max="1" width="9.140625" style="8"/>
    <col min="3" max="3" width="29.42578125" bestFit="1" customWidth="1"/>
    <col min="4" max="4" width="41.42578125" bestFit="1" customWidth="1"/>
    <col min="5" max="6" width="12.42578125" hidden="1" customWidth="1"/>
    <col min="7" max="13" width="0" hidden="1" customWidth="1"/>
    <col min="14" max="14" width="19.5703125" hidden="1" customWidth="1"/>
    <col min="15" max="15" width="16.85546875" hidden="1" customWidth="1"/>
    <col min="16" max="16" width="17.7109375" hidden="1" customWidth="1"/>
    <col min="17" max="18" width="12.85546875" hidden="1" customWidth="1"/>
  </cols>
  <sheetData>
    <row r="1" spans="1:19" x14ac:dyDescent="0.25">
      <c r="A1" s="6" t="s">
        <v>31</v>
      </c>
    </row>
    <row r="2" spans="1:19" x14ac:dyDescent="0.25">
      <c r="A2" s="6" t="s">
        <v>43</v>
      </c>
      <c r="B2" t="s">
        <v>43</v>
      </c>
      <c r="C2" t="s">
        <v>44</v>
      </c>
      <c r="D2" t="s">
        <v>45</v>
      </c>
    </row>
    <row r="3" spans="1:19" x14ac:dyDescent="0.25">
      <c r="A3" s="6" t="s">
        <v>43</v>
      </c>
      <c r="B3" t="s">
        <v>43</v>
      </c>
      <c r="C3" t="s">
        <v>46</v>
      </c>
      <c r="D3" t="s">
        <v>47</v>
      </c>
    </row>
    <row r="4" spans="1:19" x14ac:dyDescent="0.25">
      <c r="A4" s="6" t="s">
        <v>43</v>
      </c>
      <c r="B4" t="s">
        <v>43</v>
      </c>
      <c r="C4" t="s">
        <v>48</v>
      </c>
      <c r="D4" t="s">
        <v>49</v>
      </c>
    </row>
    <row r="5" spans="1:19" x14ac:dyDescent="0.25">
      <c r="A5" s="6" t="s">
        <v>43</v>
      </c>
      <c r="B5" t="s">
        <v>43</v>
      </c>
      <c r="C5" t="s">
        <v>50</v>
      </c>
      <c r="D5" t="s">
        <v>51</v>
      </c>
    </row>
    <row r="6" spans="1:19" x14ac:dyDescent="0.25">
      <c r="A6" s="6" t="s">
        <v>43</v>
      </c>
      <c r="B6" t="s">
        <v>43</v>
      </c>
      <c r="C6" t="s">
        <v>52</v>
      </c>
      <c r="D6" t="s">
        <v>53</v>
      </c>
    </row>
    <row r="7" spans="1:19" x14ac:dyDescent="0.25">
      <c r="A7" s="6" t="s">
        <v>43</v>
      </c>
      <c r="B7" t="s">
        <v>43</v>
      </c>
      <c r="C7" t="s">
        <v>54</v>
      </c>
      <c r="D7" t="s">
        <v>55</v>
      </c>
    </row>
    <row r="8" spans="1:19" x14ac:dyDescent="0.25">
      <c r="A8" s="6" t="s">
        <v>43</v>
      </c>
      <c r="B8" t="s">
        <v>43</v>
      </c>
      <c r="C8" t="s">
        <v>56</v>
      </c>
      <c r="D8" t="s">
        <v>57</v>
      </c>
      <c r="E8" t="s">
        <v>146</v>
      </c>
      <c r="F8">
        <v>255</v>
      </c>
      <c r="G8" t="s">
        <v>58</v>
      </c>
      <c r="H8" t="s">
        <v>59</v>
      </c>
      <c r="I8" t="s">
        <v>147</v>
      </c>
      <c r="J8" t="s">
        <v>148</v>
      </c>
      <c r="K8" t="s">
        <v>149</v>
      </c>
      <c r="L8" t="s">
        <v>150</v>
      </c>
      <c r="M8" t="s">
        <v>59</v>
      </c>
      <c r="N8" t="str">
        <f>"{"&amp;CHAR(34)&amp;I8&amp;CHAR(34)&amp;" : "&amp;CHAR(34)&amp;C8&amp;CHAR(34)&amp;","</f>
        <v>{"name" : "CENTRAL",</v>
      </c>
      <c r="O8" t="str">
        <f t="shared" ref="O8:Q8" si="0">CHAR(34)&amp;J8&amp;CHAR(34)&amp;" : "&amp;CHAR(34)&amp;D8&amp;CHAR(34)&amp;","</f>
        <v>"field" : "central",</v>
      </c>
      <c r="P8" t="str">
        <f t="shared" si="0"/>
        <v>"type" : "VarChar",</v>
      </c>
      <c r="Q8" t="str">
        <f t="shared" si="0"/>
        <v>"size" : "255",</v>
      </c>
      <c r="R8" t="str">
        <f>CHAR(34)&amp;M8&amp;CHAR(34)&amp;" : "&amp;CHAR(34)&amp;IF(G8="not","false","true")&amp;CHAR(34)&amp;"},"</f>
        <v>"null" : "false"},</v>
      </c>
      <c r="S8" t="str">
        <f>N8&amp;O8&amp;P8&amp;Q8&amp;R8</f>
        <v>{"name" : "CENTRAL","field" : "central","type" : "VarChar","size" : "255","null" : "false"},</v>
      </c>
    </row>
    <row r="9" spans="1:19" x14ac:dyDescent="0.25">
      <c r="A9" s="6" t="s">
        <v>43</v>
      </c>
      <c r="B9" t="s">
        <v>43</v>
      </c>
      <c r="C9" t="s">
        <v>60</v>
      </c>
      <c r="D9" t="s">
        <v>61</v>
      </c>
      <c r="E9" t="s">
        <v>146</v>
      </c>
      <c r="F9">
        <v>13</v>
      </c>
      <c r="G9" t="s">
        <v>58</v>
      </c>
      <c r="H9" t="s">
        <v>59</v>
      </c>
      <c r="I9" t="s">
        <v>147</v>
      </c>
      <c r="J9" t="s">
        <v>148</v>
      </c>
      <c r="K9" t="s">
        <v>149</v>
      </c>
      <c r="L9" t="s">
        <v>150</v>
      </c>
      <c r="M9" t="s">
        <v>59</v>
      </c>
      <c r="N9" t="str">
        <f t="shared" ref="N9:N24" si="1">"{"&amp;CHAR(34)&amp;I9&amp;CHAR(34)&amp;" : "&amp;CHAR(34)&amp;C9&amp;CHAR(34)&amp;","</f>
        <v>{"name" : "FICHA",</v>
      </c>
      <c r="O9" t="str">
        <f t="shared" ref="O9:O24" si="2">CHAR(34)&amp;J9&amp;CHAR(34)&amp;" : "&amp;CHAR(34)&amp;D9&amp;CHAR(34)&amp;","</f>
        <v>"field" : "ficha",</v>
      </c>
      <c r="P9" t="str">
        <f t="shared" ref="P9:P24" si="3">CHAR(34)&amp;K9&amp;CHAR(34)&amp;" : "&amp;CHAR(34)&amp;E9&amp;CHAR(34)&amp;","</f>
        <v>"type" : "VarChar",</v>
      </c>
      <c r="Q9" t="str">
        <f t="shared" ref="Q9:Q24" si="4">CHAR(34)&amp;L9&amp;CHAR(34)&amp;" : "&amp;CHAR(34)&amp;F9&amp;CHAR(34)&amp;","</f>
        <v>"size" : "13",</v>
      </c>
      <c r="R9" t="str">
        <f t="shared" ref="R9:R24" si="5">CHAR(34)&amp;M9&amp;CHAR(34)&amp;" : "&amp;CHAR(34)&amp;IF(G9="not","false","true")&amp;CHAR(34)&amp;"},"</f>
        <v>"null" : "false"},</v>
      </c>
      <c r="S9" t="str">
        <f t="shared" ref="S9:S24" si="6">N9&amp;O9&amp;P9&amp;Q9&amp;R9</f>
        <v>{"name" : "FICHA","field" : "ficha","type" : "VarChar","size" : "13","null" : "false"},</v>
      </c>
    </row>
    <row r="10" spans="1:19" x14ac:dyDescent="0.25">
      <c r="A10" s="6" t="s">
        <v>43</v>
      </c>
      <c r="B10" t="s">
        <v>43</v>
      </c>
      <c r="C10" t="s">
        <v>62</v>
      </c>
      <c r="D10" t="s">
        <v>63</v>
      </c>
      <c r="E10" t="s">
        <v>146</v>
      </c>
      <c r="F10">
        <v>255</v>
      </c>
      <c r="G10" t="s">
        <v>58</v>
      </c>
      <c r="H10" t="s">
        <v>59</v>
      </c>
      <c r="I10" t="s">
        <v>147</v>
      </c>
      <c r="J10" t="s">
        <v>148</v>
      </c>
      <c r="K10" t="s">
        <v>149</v>
      </c>
      <c r="L10" t="s">
        <v>150</v>
      </c>
      <c r="M10" t="s">
        <v>59</v>
      </c>
      <c r="N10" t="str">
        <f t="shared" si="1"/>
        <v>{"name" : "SOLICITACAO",</v>
      </c>
      <c r="O10" t="str">
        <f t="shared" si="2"/>
        <v>"field" : "solicitacao",</v>
      </c>
      <c r="P10" t="str">
        <f t="shared" si="3"/>
        <v>"type" : "VarChar",</v>
      </c>
      <c r="Q10" t="str">
        <f t="shared" si="4"/>
        <v>"size" : "255",</v>
      </c>
      <c r="R10" t="str">
        <f t="shared" si="5"/>
        <v>"null" : "false"},</v>
      </c>
      <c r="S10" t="str">
        <f t="shared" si="6"/>
        <v>{"name" : "SOLICITACAO","field" : "solicitacao","type" : "VarChar","size" : "255","null" : "false"},</v>
      </c>
    </row>
    <row r="11" spans="1:19" x14ac:dyDescent="0.25">
      <c r="A11" s="6" t="s">
        <v>43</v>
      </c>
      <c r="B11" t="s">
        <v>43</v>
      </c>
      <c r="C11" t="s">
        <v>64</v>
      </c>
      <c r="D11" t="s">
        <v>65</v>
      </c>
      <c r="E11" t="s">
        <v>146</v>
      </c>
      <c r="F11">
        <v>255</v>
      </c>
      <c r="G11" t="s">
        <v>58</v>
      </c>
      <c r="H11" t="s">
        <v>59</v>
      </c>
      <c r="I11" t="s">
        <v>147</v>
      </c>
      <c r="J11" t="s">
        <v>148</v>
      </c>
      <c r="K11" t="s">
        <v>149</v>
      </c>
      <c r="L11" t="s">
        <v>150</v>
      </c>
      <c r="M11" t="s">
        <v>59</v>
      </c>
      <c r="N11" t="str">
        <f t="shared" si="1"/>
        <v>{"name" : "ESPECIALIDADE",</v>
      </c>
      <c r="O11" t="str">
        <f t="shared" si="2"/>
        <v>"field" : "especialidade",</v>
      </c>
      <c r="P11" t="str">
        <f t="shared" si="3"/>
        <v>"type" : "VarChar",</v>
      </c>
      <c r="Q11" t="str">
        <f t="shared" si="4"/>
        <v>"size" : "255",</v>
      </c>
      <c r="R11" t="str">
        <f t="shared" si="5"/>
        <v>"null" : "false"},</v>
      </c>
      <c r="S11" t="str">
        <f t="shared" si="6"/>
        <v>{"name" : "ESPECIALIDADE","field" : "especialidade","type" : "VarChar","size" : "255","null" : "false"},</v>
      </c>
    </row>
    <row r="12" spans="1:19" x14ac:dyDescent="0.25">
      <c r="A12" s="6" t="s">
        <v>43</v>
      </c>
      <c r="B12" t="s">
        <v>43</v>
      </c>
      <c r="C12" t="s">
        <v>66</v>
      </c>
      <c r="D12" t="s">
        <v>67</v>
      </c>
      <c r="E12" t="s">
        <v>146</v>
      </c>
      <c r="F12">
        <v>255</v>
      </c>
      <c r="G12" t="s">
        <v>58</v>
      </c>
      <c r="H12" t="s">
        <v>59</v>
      </c>
      <c r="I12" t="s">
        <v>147</v>
      </c>
      <c r="J12" t="s">
        <v>148</v>
      </c>
      <c r="K12" t="s">
        <v>149</v>
      </c>
      <c r="L12" t="s">
        <v>150</v>
      </c>
      <c r="M12" t="s">
        <v>59</v>
      </c>
      <c r="N12" t="str">
        <f t="shared" si="1"/>
        <v>{"name" : "ORIGEM",</v>
      </c>
      <c r="O12" t="str">
        <f t="shared" si="2"/>
        <v>"field" : "origem",</v>
      </c>
      <c r="P12" t="str">
        <f t="shared" si="3"/>
        <v>"type" : "VarChar",</v>
      </c>
      <c r="Q12" t="str">
        <f t="shared" si="4"/>
        <v>"size" : "255",</v>
      </c>
      <c r="R12" t="str">
        <f t="shared" si="5"/>
        <v>"null" : "false"},</v>
      </c>
      <c r="S12" t="str">
        <f t="shared" si="6"/>
        <v>{"name" : "ORIGEM","field" : "origem","type" : "VarChar","size" : "255","null" : "false"},</v>
      </c>
    </row>
    <row r="13" spans="1:19" x14ac:dyDescent="0.25">
      <c r="A13" s="6" t="s">
        <v>43</v>
      </c>
      <c r="B13" t="s">
        <v>43</v>
      </c>
      <c r="C13" t="s">
        <v>68</v>
      </c>
      <c r="D13" t="s">
        <v>69</v>
      </c>
      <c r="E13" t="s">
        <v>146</v>
      </c>
      <c r="F13">
        <v>255</v>
      </c>
      <c r="G13" t="s">
        <v>58</v>
      </c>
      <c r="H13" t="s">
        <v>59</v>
      </c>
      <c r="I13" t="s">
        <v>147</v>
      </c>
      <c r="J13" t="s">
        <v>148</v>
      </c>
      <c r="K13" t="s">
        <v>149</v>
      </c>
      <c r="L13" t="s">
        <v>150</v>
      </c>
      <c r="M13" t="s">
        <v>59</v>
      </c>
      <c r="N13" t="str">
        <f t="shared" si="1"/>
        <v>{"name" : "SOLICITANTE",</v>
      </c>
      <c r="O13" t="str">
        <f t="shared" si="2"/>
        <v>"field" : "solicitante",</v>
      </c>
      <c r="P13" t="str">
        <f t="shared" si="3"/>
        <v>"type" : "VarChar",</v>
      </c>
      <c r="Q13" t="str">
        <f t="shared" si="4"/>
        <v>"size" : "255",</v>
      </c>
      <c r="R13" t="str">
        <f t="shared" si="5"/>
        <v>"null" : "false"},</v>
      </c>
      <c r="S13" t="str">
        <f t="shared" si="6"/>
        <v>{"name" : "SOLICITANTE","field" : "solicitante","type" : "VarChar","size" : "255","null" : "false"},</v>
      </c>
    </row>
    <row r="14" spans="1:19" x14ac:dyDescent="0.25">
      <c r="A14" s="6" t="s">
        <v>43</v>
      </c>
      <c r="B14" t="s">
        <v>43</v>
      </c>
      <c r="C14" t="s">
        <v>70</v>
      </c>
      <c r="D14" t="s">
        <v>71</v>
      </c>
      <c r="E14" t="s">
        <v>146</v>
      </c>
      <c r="F14">
        <v>255</v>
      </c>
      <c r="G14" t="s">
        <v>58</v>
      </c>
      <c r="H14" t="s">
        <v>59</v>
      </c>
      <c r="I14" t="s">
        <v>147</v>
      </c>
      <c r="J14" t="s">
        <v>148</v>
      </c>
      <c r="K14" t="s">
        <v>149</v>
      </c>
      <c r="L14" t="s">
        <v>150</v>
      </c>
      <c r="M14" t="s">
        <v>59</v>
      </c>
      <c r="N14" t="str">
        <f t="shared" si="1"/>
        <v>{"name" : "EXECUTANTE",</v>
      </c>
      <c r="O14" t="str">
        <f t="shared" si="2"/>
        <v>"field" : "executante",</v>
      </c>
      <c r="P14" t="str">
        <f t="shared" si="3"/>
        <v>"type" : "VarChar",</v>
      </c>
      <c r="Q14" t="str">
        <f t="shared" si="4"/>
        <v>"size" : "255",</v>
      </c>
      <c r="R14" t="str">
        <f t="shared" si="5"/>
        <v>"null" : "false"},</v>
      </c>
      <c r="S14" t="str">
        <f t="shared" si="6"/>
        <v>{"name" : "EXECUTANTE","field" : "executante","type" : "VarChar","size" : "255","null" : "false"},</v>
      </c>
    </row>
    <row r="15" spans="1:19" x14ac:dyDescent="0.25">
      <c r="A15" s="6" t="s">
        <v>43</v>
      </c>
      <c r="B15" t="s">
        <v>43</v>
      </c>
      <c r="C15" t="s">
        <v>72</v>
      </c>
      <c r="D15" t="s">
        <v>73</v>
      </c>
      <c r="E15" t="s">
        <v>146</v>
      </c>
      <c r="F15">
        <v>255</v>
      </c>
      <c r="G15" t="s">
        <v>58</v>
      </c>
      <c r="H15" t="s">
        <v>59</v>
      </c>
      <c r="I15" t="s">
        <v>147</v>
      </c>
      <c r="J15" t="s">
        <v>148</v>
      </c>
      <c r="K15" t="s">
        <v>149</v>
      </c>
      <c r="L15" t="s">
        <v>150</v>
      </c>
      <c r="M15" t="s">
        <v>59</v>
      </c>
      <c r="N15" t="str">
        <f t="shared" si="1"/>
        <v>{"name" : "MEDICO",</v>
      </c>
      <c r="O15" t="str">
        <f t="shared" si="2"/>
        <v>"field" : "medico",</v>
      </c>
      <c r="P15" t="str">
        <f t="shared" si="3"/>
        <v>"type" : "VarChar",</v>
      </c>
      <c r="Q15" t="str">
        <f t="shared" si="4"/>
        <v>"size" : "255",</v>
      </c>
      <c r="R15" t="str">
        <f t="shared" si="5"/>
        <v>"null" : "false"},</v>
      </c>
      <c r="S15" t="str">
        <f t="shared" si="6"/>
        <v>{"name" : "MEDICO","field" : "medico","type" : "VarChar","size" : "255","null" : "false"},</v>
      </c>
    </row>
    <row r="16" spans="1:19" x14ac:dyDescent="0.25">
      <c r="A16" s="6" t="s">
        <v>43</v>
      </c>
      <c r="B16" t="s">
        <v>43</v>
      </c>
      <c r="C16" t="s">
        <v>74</v>
      </c>
      <c r="D16" t="s">
        <v>75</v>
      </c>
      <c r="E16" t="s">
        <v>76</v>
      </c>
      <c r="F16">
        <v>10</v>
      </c>
      <c r="G16" t="s">
        <v>58</v>
      </c>
      <c r="H16" t="s">
        <v>59</v>
      </c>
      <c r="I16" t="s">
        <v>147</v>
      </c>
      <c r="J16" t="s">
        <v>148</v>
      </c>
      <c r="K16" t="s">
        <v>149</v>
      </c>
      <c r="L16" t="s">
        <v>150</v>
      </c>
      <c r="M16" t="s">
        <v>59</v>
      </c>
      <c r="N16" t="str">
        <f t="shared" si="1"/>
        <v>{"name" : "DATA_AGENDA",</v>
      </c>
      <c r="O16" t="str">
        <f t="shared" si="2"/>
        <v>"field" : "dataAgenda",</v>
      </c>
      <c r="P16" t="str">
        <f t="shared" si="3"/>
        <v>"type" : "Date",</v>
      </c>
      <c r="Q16" t="str">
        <f t="shared" si="4"/>
        <v>"size" : "10",</v>
      </c>
      <c r="R16" t="str">
        <f t="shared" si="5"/>
        <v>"null" : "false"},</v>
      </c>
      <c r="S16" t="str">
        <f t="shared" si="6"/>
        <v>{"name" : "DATA_AGENDA","field" : "dataAgenda","type" : "Date","size" : "10","null" : "false"},</v>
      </c>
    </row>
    <row r="17" spans="1:19" x14ac:dyDescent="0.25">
      <c r="A17" s="6" t="s">
        <v>43</v>
      </c>
      <c r="B17" t="s">
        <v>43</v>
      </c>
      <c r="C17" t="s">
        <v>77</v>
      </c>
      <c r="D17" t="s">
        <v>78</v>
      </c>
      <c r="E17" t="s">
        <v>79</v>
      </c>
      <c r="F17">
        <v>5</v>
      </c>
      <c r="G17" t="s">
        <v>58</v>
      </c>
      <c r="H17" t="s">
        <v>59</v>
      </c>
      <c r="I17" t="s">
        <v>147</v>
      </c>
      <c r="J17" t="s">
        <v>148</v>
      </c>
      <c r="K17" t="s">
        <v>149</v>
      </c>
      <c r="L17" t="s">
        <v>150</v>
      </c>
      <c r="M17" t="s">
        <v>59</v>
      </c>
      <c r="N17" t="str">
        <f t="shared" si="1"/>
        <v>{"name" : "HORA_AGENDA",</v>
      </c>
      <c r="O17" t="str">
        <f t="shared" si="2"/>
        <v>"field" : "horaAgenda",</v>
      </c>
      <c r="P17" t="str">
        <f t="shared" si="3"/>
        <v>"type" : "Time",</v>
      </c>
      <c r="Q17" t="str">
        <f t="shared" si="4"/>
        <v>"size" : "5",</v>
      </c>
      <c r="R17" t="str">
        <f t="shared" si="5"/>
        <v>"null" : "false"},</v>
      </c>
      <c r="S17" t="str">
        <f t="shared" si="6"/>
        <v>{"name" : "HORA_AGENDA","field" : "horaAgenda","type" : "Time","size" : "5","null" : "false"},</v>
      </c>
    </row>
    <row r="18" spans="1:19" x14ac:dyDescent="0.25">
      <c r="A18" s="6" t="s">
        <v>43</v>
      </c>
      <c r="B18" t="s">
        <v>43</v>
      </c>
      <c r="C18" t="s">
        <v>80</v>
      </c>
      <c r="D18" t="s">
        <v>81</v>
      </c>
      <c r="E18" t="s">
        <v>76</v>
      </c>
      <c r="F18">
        <v>10</v>
      </c>
      <c r="I18" t="s">
        <v>147</v>
      </c>
      <c r="J18" t="s">
        <v>148</v>
      </c>
      <c r="K18" t="s">
        <v>149</v>
      </c>
      <c r="L18" t="s">
        <v>150</v>
      </c>
      <c r="M18" t="s">
        <v>59</v>
      </c>
      <c r="N18" t="str">
        <f t="shared" si="1"/>
        <v>{"name" : "DATA_RETORNO_OBRIGATORIO",</v>
      </c>
      <c r="O18" t="str">
        <f t="shared" si="2"/>
        <v>"field" : "dataRetornoObrigatorio",</v>
      </c>
      <c r="P18" t="str">
        <f t="shared" si="3"/>
        <v>"type" : "Date",</v>
      </c>
      <c r="Q18" t="str">
        <f t="shared" si="4"/>
        <v>"size" : "10",</v>
      </c>
      <c r="R18" t="str">
        <f t="shared" si="5"/>
        <v>"null" : "true"},</v>
      </c>
      <c r="S18" t="str">
        <f t="shared" si="6"/>
        <v>{"name" : "DATA_RETORNO_OBRIGATORIO","field" : "dataRetornoObrigatorio","type" : "Date","size" : "10","null" : "true"},</v>
      </c>
    </row>
    <row r="19" spans="1:19" x14ac:dyDescent="0.25">
      <c r="A19" s="6" t="s">
        <v>43</v>
      </c>
      <c r="B19" t="s">
        <v>43</v>
      </c>
      <c r="C19" t="s">
        <v>82</v>
      </c>
      <c r="D19" t="s">
        <v>83</v>
      </c>
      <c r="E19" t="s">
        <v>146</v>
      </c>
      <c r="F19">
        <v>255</v>
      </c>
      <c r="G19" t="s">
        <v>58</v>
      </c>
      <c r="H19" t="s">
        <v>59</v>
      </c>
      <c r="I19" t="s">
        <v>147</v>
      </c>
      <c r="J19" t="s">
        <v>148</v>
      </c>
      <c r="K19" t="s">
        <v>149</v>
      </c>
      <c r="L19" t="s">
        <v>150</v>
      </c>
      <c r="M19" t="s">
        <v>59</v>
      </c>
      <c r="N19" t="str">
        <f t="shared" si="1"/>
        <v>{"name" : "TIPO_BUSCA",</v>
      </c>
      <c r="O19" t="str">
        <f t="shared" si="2"/>
        <v>"field" : "tipoBusca",</v>
      </c>
      <c r="P19" t="str">
        <f t="shared" si="3"/>
        <v>"type" : "VarChar",</v>
      </c>
      <c r="Q19" t="str">
        <f t="shared" si="4"/>
        <v>"size" : "255",</v>
      </c>
      <c r="R19" t="str">
        <f t="shared" si="5"/>
        <v>"null" : "false"},</v>
      </c>
      <c r="S19" t="str">
        <f t="shared" si="6"/>
        <v>{"name" : "TIPO_BUSCA","field" : "tipoBusca","type" : "VarChar","size" : "255","null" : "false"},</v>
      </c>
    </row>
    <row r="20" spans="1:19" x14ac:dyDescent="0.25">
      <c r="A20" s="6" t="s">
        <v>43</v>
      </c>
      <c r="B20" t="s">
        <v>43</v>
      </c>
      <c r="C20" t="s">
        <v>84</v>
      </c>
      <c r="D20" t="s">
        <v>85</v>
      </c>
      <c r="E20" t="s">
        <v>146</v>
      </c>
      <c r="F20">
        <v>255</v>
      </c>
      <c r="G20" t="s">
        <v>58</v>
      </c>
      <c r="H20" t="s">
        <v>59</v>
      </c>
      <c r="I20" t="s">
        <v>147</v>
      </c>
      <c r="J20" t="s">
        <v>148</v>
      </c>
      <c r="K20" t="s">
        <v>149</v>
      </c>
      <c r="L20" t="s">
        <v>150</v>
      </c>
      <c r="M20" t="s">
        <v>59</v>
      </c>
      <c r="N20" t="str">
        <f t="shared" si="1"/>
        <v>{"name" : "SITUACAO_ATUAL",</v>
      </c>
      <c r="O20" t="str">
        <f t="shared" si="2"/>
        <v>"field" : "situacaoAtual",</v>
      </c>
      <c r="P20" t="str">
        <f t="shared" si="3"/>
        <v>"type" : "VarChar",</v>
      </c>
      <c r="Q20" t="str">
        <f t="shared" si="4"/>
        <v>"size" : "255",</v>
      </c>
      <c r="R20" t="str">
        <f t="shared" si="5"/>
        <v>"null" : "false"},</v>
      </c>
      <c r="S20" t="str">
        <f t="shared" si="6"/>
        <v>{"name" : "SITUACAO_ATUAL","field" : "situacaoAtual","type" : "VarChar","size" : "255","null" : "false"},</v>
      </c>
    </row>
    <row r="21" spans="1:19" x14ac:dyDescent="0.25">
      <c r="A21" s="6" t="s">
        <v>43</v>
      </c>
      <c r="B21" t="s">
        <v>43</v>
      </c>
      <c r="C21" t="s">
        <v>86</v>
      </c>
      <c r="D21" t="s">
        <v>87</v>
      </c>
      <c r="E21" t="s">
        <v>146</v>
      </c>
      <c r="F21">
        <v>255</v>
      </c>
      <c r="I21" t="s">
        <v>147</v>
      </c>
      <c r="J21" t="s">
        <v>148</v>
      </c>
      <c r="K21" t="s">
        <v>149</v>
      </c>
      <c r="L21" t="s">
        <v>150</v>
      </c>
      <c r="M21" t="s">
        <v>59</v>
      </c>
      <c r="N21" t="str">
        <f t="shared" si="1"/>
        <v>{"name" : "MEDICO_REQUERIDO",</v>
      </c>
      <c r="O21" t="str">
        <f t="shared" si="2"/>
        <v>"field" : "medicoRequerido",</v>
      </c>
      <c r="P21" t="str">
        <f t="shared" si="3"/>
        <v>"type" : "VarChar",</v>
      </c>
      <c r="Q21" t="str">
        <f t="shared" si="4"/>
        <v>"size" : "255",</v>
      </c>
      <c r="R21" t="str">
        <f t="shared" si="5"/>
        <v>"null" : "true"},</v>
      </c>
      <c r="S21" t="str">
        <f t="shared" si="6"/>
        <v>{"name" : "MEDICO_REQUERIDO","field" : "medicoRequerido","type" : "VarChar","size" : "255","null" : "true"},</v>
      </c>
    </row>
    <row r="22" spans="1:19" x14ac:dyDescent="0.25">
      <c r="A22" s="6" t="s">
        <v>43</v>
      </c>
      <c r="B22" t="s">
        <v>43</v>
      </c>
      <c r="C22" t="s">
        <v>88</v>
      </c>
      <c r="D22" t="s">
        <v>89</v>
      </c>
      <c r="E22" t="s">
        <v>146</v>
      </c>
      <c r="F22">
        <v>255</v>
      </c>
      <c r="I22" t="s">
        <v>147</v>
      </c>
      <c r="J22" t="s">
        <v>148</v>
      </c>
      <c r="K22" t="s">
        <v>149</v>
      </c>
      <c r="L22" t="s">
        <v>150</v>
      </c>
      <c r="M22" t="s">
        <v>59</v>
      </c>
      <c r="N22" t="str">
        <f t="shared" si="1"/>
        <v>{"name" : "UNIDADE_REQUERIDA",</v>
      </c>
      <c r="O22" t="str">
        <f t="shared" si="2"/>
        <v>"field" : "unidadeRequerida",</v>
      </c>
      <c r="P22" t="str">
        <f t="shared" si="3"/>
        <v>"type" : "VarChar",</v>
      </c>
      <c r="Q22" t="str">
        <f t="shared" si="4"/>
        <v>"size" : "255",</v>
      </c>
      <c r="R22" t="str">
        <f t="shared" si="5"/>
        <v>"null" : "true"},</v>
      </c>
      <c r="S22" t="str">
        <f t="shared" si="6"/>
        <v>{"name" : "UNIDADE_REQUERIDA","field" : "unidadeRequerida","type" : "VarChar","size" : "255","null" : "true"},</v>
      </c>
    </row>
    <row r="23" spans="1:19" x14ac:dyDescent="0.25">
      <c r="A23" s="6" t="s">
        <v>43</v>
      </c>
      <c r="B23" t="s">
        <v>43</v>
      </c>
      <c r="C23" t="s">
        <v>90</v>
      </c>
      <c r="D23" t="s">
        <v>91</v>
      </c>
      <c r="E23" t="s">
        <v>146</v>
      </c>
      <c r="F23">
        <v>255</v>
      </c>
      <c r="G23" t="s">
        <v>58</v>
      </c>
      <c r="H23" t="s">
        <v>59</v>
      </c>
      <c r="I23" t="s">
        <v>147</v>
      </c>
      <c r="J23" t="s">
        <v>148</v>
      </c>
      <c r="K23" t="s">
        <v>149</v>
      </c>
      <c r="L23" t="s">
        <v>150</v>
      </c>
      <c r="M23" t="s">
        <v>59</v>
      </c>
      <c r="N23" t="str">
        <f t="shared" si="1"/>
        <v>{"name" : "TIPO_MARCACAO",</v>
      </c>
      <c r="O23" t="str">
        <f t="shared" si="2"/>
        <v>"field" : "tipoMarcacao",</v>
      </c>
      <c r="P23" t="str">
        <f t="shared" si="3"/>
        <v>"type" : "VarChar",</v>
      </c>
      <c r="Q23" t="str">
        <f t="shared" si="4"/>
        <v>"size" : "255",</v>
      </c>
      <c r="R23" t="str">
        <f t="shared" si="5"/>
        <v>"null" : "false"},</v>
      </c>
      <c r="S23" t="str">
        <f t="shared" si="6"/>
        <v>{"name" : "TIPO_MARCACAO","field" : "tipoMarcacao","type" : "VarChar","size" : "255","null" : "false"},</v>
      </c>
    </row>
    <row r="24" spans="1:19" x14ac:dyDescent="0.25">
      <c r="A24" s="6" t="s">
        <v>43</v>
      </c>
      <c r="B24" t="s">
        <v>43</v>
      </c>
      <c r="C24" t="s">
        <v>92</v>
      </c>
      <c r="D24" t="s">
        <v>93</v>
      </c>
      <c r="E24" t="s">
        <v>146</v>
      </c>
      <c r="F24">
        <v>255</v>
      </c>
      <c r="G24" t="s">
        <v>58</v>
      </c>
      <c r="H24" t="s">
        <v>59</v>
      </c>
      <c r="I24" t="s">
        <v>147</v>
      </c>
      <c r="J24" t="s">
        <v>148</v>
      </c>
      <c r="K24" t="s">
        <v>149</v>
      </c>
      <c r="L24" t="s">
        <v>150</v>
      </c>
      <c r="M24" t="s">
        <v>59</v>
      </c>
      <c r="N24" t="str">
        <f t="shared" si="1"/>
        <v>{"name" : "PROCEDENCIA_PACIENTE",</v>
      </c>
      <c r="O24" t="str">
        <f t="shared" si="2"/>
        <v>"field" : "procedencia",</v>
      </c>
      <c r="P24" t="str">
        <f t="shared" si="3"/>
        <v>"type" : "VarChar",</v>
      </c>
      <c r="Q24" t="str">
        <f t="shared" si="4"/>
        <v>"size" : "255",</v>
      </c>
      <c r="R24" t="str">
        <f t="shared" si="5"/>
        <v>"null" : "false"},</v>
      </c>
      <c r="S24" t="str">
        <f t="shared" si="6"/>
        <v>{"name" : "PROCEDENCIA_PACIENTE","field" : "procedencia","type" : "VarChar","size" : "255","null" : "false"},</v>
      </c>
    </row>
    <row r="25" spans="1:19" x14ac:dyDescent="0.25">
      <c r="A25" s="7"/>
    </row>
    <row r="26" spans="1:19" x14ac:dyDescent="0.25">
      <c r="A26" s="6" t="s">
        <v>32</v>
      </c>
    </row>
    <row r="27" spans="1:19" x14ac:dyDescent="0.25">
      <c r="A27" s="6" t="s">
        <v>43</v>
      </c>
      <c r="B27" t="s">
        <v>43</v>
      </c>
      <c r="C27" t="s">
        <v>44</v>
      </c>
      <c r="D27" t="s">
        <v>94</v>
      </c>
    </row>
    <row r="28" spans="1:19" x14ac:dyDescent="0.25">
      <c r="A28" s="6" t="s">
        <v>43</v>
      </c>
      <c r="B28" t="s">
        <v>43</v>
      </c>
      <c r="C28" t="s">
        <v>46</v>
      </c>
      <c r="D28" t="s">
        <v>47</v>
      </c>
    </row>
    <row r="29" spans="1:19" x14ac:dyDescent="0.25">
      <c r="A29" s="6" t="s">
        <v>43</v>
      </c>
      <c r="B29" t="s">
        <v>43</v>
      </c>
      <c r="C29" t="s">
        <v>48</v>
      </c>
      <c r="D29" t="s">
        <v>49</v>
      </c>
    </row>
    <row r="30" spans="1:19" x14ac:dyDescent="0.25">
      <c r="A30" s="6" t="s">
        <v>43</v>
      </c>
      <c r="B30" t="s">
        <v>43</v>
      </c>
      <c r="C30" t="s">
        <v>50</v>
      </c>
      <c r="D30" t="s">
        <v>51</v>
      </c>
    </row>
    <row r="31" spans="1:19" x14ac:dyDescent="0.25">
      <c r="A31" s="6" t="s">
        <v>43</v>
      </c>
      <c r="B31" t="s">
        <v>43</v>
      </c>
      <c r="C31" t="s">
        <v>52</v>
      </c>
      <c r="D31" t="s">
        <v>53</v>
      </c>
    </row>
    <row r="32" spans="1:19" x14ac:dyDescent="0.25">
      <c r="A32" s="6" t="s">
        <v>43</v>
      </c>
      <c r="B32" t="s">
        <v>43</v>
      </c>
      <c r="C32" t="s">
        <v>54</v>
      </c>
      <c r="D32" t="s">
        <v>55</v>
      </c>
    </row>
    <row r="33" spans="1:19" x14ac:dyDescent="0.25">
      <c r="A33" s="6" t="s">
        <v>43</v>
      </c>
      <c r="B33" t="s">
        <v>43</v>
      </c>
      <c r="C33" t="s">
        <v>56</v>
      </c>
      <c r="D33" t="s">
        <v>57</v>
      </c>
      <c r="E33" t="s">
        <v>146</v>
      </c>
      <c r="F33">
        <v>255</v>
      </c>
      <c r="G33" t="s">
        <v>95</v>
      </c>
      <c r="H33" t="s">
        <v>96</v>
      </c>
      <c r="I33" t="s">
        <v>147</v>
      </c>
      <c r="J33" t="s">
        <v>148</v>
      </c>
      <c r="K33" t="s">
        <v>149</v>
      </c>
      <c r="L33" t="s">
        <v>150</v>
      </c>
      <c r="M33" t="s">
        <v>59</v>
      </c>
      <c r="N33" t="str">
        <f>"{"&amp;CHAR(34)&amp;I33&amp;CHAR(34)&amp;" : "&amp;CHAR(34)&amp;C33&amp;CHAR(34)&amp;","</f>
        <v>{"name" : "CENTRAL",</v>
      </c>
      <c r="O33" t="str">
        <f t="shared" ref="O33" si="7">CHAR(34)&amp;J33&amp;CHAR(34)&amp;" : "&amp;CHAR(34)&amp;D33&amp;CHAR(34)&amp;","</f>
        <v>"field" : "central",</v>
      </c>
      <c r="P33" t="str">
        <f t="shared" ref="P33" si="8">CHAR(34)&amp;K33&amp;CHAR(34)&amp;" : "&amp;CHAR(34)&amp;E33&amp;CHAR(34)&amp;","</f>
        <v>"type" : "VarChar",</v>
      </c>
      <c r="Q33" t="str">
        <f t="shared" ref="Q33" si="9">CHAR(34)&amp;L33&amp;CHAR(34)&amp;" : "&amp;CHAR(34)&amp;F33&amp;CHAR(34)&amp;","</f>
        <v>"size" : "255",</v>
      </c>
      <c r="R33" t="str">
        <f>CHAR(34)&amp;M33&amp;CHAR(34)&amp;" : "&amp;CHAR(34)&amp;IF(G33="not","false","true")&amp;CHAR(34)&amp;"},"</f>
        <v>"null" : "false"},</v>
      </c>
      <c r="S33" t="str">
        <f>N33&amp;O33&amp;P33&amp;Q33&amp;R33</f>
        <v>{"name" : "CENTRAL","field" : "central","type" : "VarChar","size" : "255","null" : "false"},</v>
      </c>
    </row>
    <row r="34" spans="1:19" x14ac:dyDescent="0.25">
      <c r="A34" s="6" t="s">
        <v>43</v>
      </c>
      <c r="B34" t="s">
        <v>43</v>
      </c>
      <c r="C34" t="s">
        <v>60</v>
      </c>
      <c r="D34" t="s">
        <v>61</v>
      </c>
      <c r="E34" t="s">
        <v>146</v>
      </c>
      <c r="F34">
        <v>255</v>
      </c>
      <c r="I34" t="s">
        <v>147</v>
      </c>
      <c r="J34" t="s">
        <v>148</v>
      </c>
      <c r="K34" t="s">
        <v>149</v>
      </c>
      <c r="L34" t="s">
        <v>150</v>
      </c>
      <c r="M34" t="s">
        <v>59</v>
      </c>
      <c r="N34" t="str">
        <f t="shared" ref="N34:N49" si="10">"{"&amp;CHAR(34)&amp;I34&amp;CHAR(34)&amp;" : "&amp;CHAR(34)&amp;C34&amp;CHAR(34)&amp;","</f>
        <v>{"name" : "FICHA",</v>
      </c>
      <c r="O34" t="str">
        <f t="shared" ref="O34:O49" si="11">CHAR(34)&amp;J34&amp;CHAR(34)&amp;" : "&amp;CHAR(34)&amp;D34&amp;CHAR(34)&amp;","</f>
        <v>"field" : "ficha",</v>
      </c>
      <c r="P34" t="str">
        <f t="shared" ref="P34:P49" si="12">CHAR(34)&amp;K34&amp;CHAR(34)&amp;" : "&amp;CHAR(34)&amp;E34&amp;CHAR(34)&amp;","</f>
        <v>"type" : "VarChar",</v>
      </c>
      <c r="Q34" t="str">
        <f t="shared" ref="Q34:Q49" si="13">CHAR(34)&amp;L34&amp;CHAR(34)&amp;" : "&amp;CHAR(34)&amp;F34&amp;CHAR(34)&amp;","</f>
        <v>"size" : "255",</v>
      </c>
      <c r="R34" t="str">
        <f t="shared" ref="R34:R49" si="14">CHAR(34)&amp;M34&amp;CHAR(34)&amp;" : "&amp;CHAR(34)&amp;IF(G34="not","false","true")&amp;CHAR(34)&amp;"},"</f>
        <v>"null" : "true"},</v>
      </c>
      <c r="S34" t="str">
        <f t="shared" ref="S34:S49" si="15">N34&amp;O34&amp;P34&amp;Q34&amp;R34</f>
        <v>{"name" : "FICHA","field" : "ficha","type" : "VarChar","size" : "255","null" : "true"},</v>
      </c>
    </row>
    <row r="35" spans="1:19" x14ac:dyDescent="0.25">
      <c r="A35" s="6" t="s">
        <v>43</v>
      </c>
      <c r="B35" t="s">
        <v>43</v>
      </c>
      <c r="C35" t="s">
        <v>62</v>
      </c>
      <c r="D35" t="s">
        <v>63</v>
      </c>
      <c r="E35" t="s">
        <v>146</v>
      </c>
      <c r="F35">
        <v>255</v>
      </c>
      <c r="I35" t="s">
        <v>147</v>
      </c>
      <c r="J35" t="s">
        <v>148</v>
      </c>
      <c r="K35" t="s">
        <v>149</v>
      </c>
      <c r="L35" t="s">
        <v>150</v>
      </c>
      <c r="M35" t="s">
        <v>59</v>
      </c>
      <c r="N35" t="str">
        <f t="shared" si="10"/>
        <v>{"name" : "SOLICITACAO",</v>
      </c>
      <c r="O35" t="str">
        <f t="shared" si="11"/>
        <v>"field" : "solicitacao",</v>
      </c>
      <c r="P35" t="str">
        <f t="shared" si="12"/>
        <v>"type" : "VarChar",</v>
      </c>
      <c r="Q35" t="str">
        <f t="shared" si="13"/>
        <v>"size" : "255",</v>
      </c>
      <c r="R35" t="str">
        <f t="shared" si="14"/>
        <v>"null" : "true"},</v>
      </c>
      <c r="S35" t="str">
        <f t="shared" si="15"/>
        <v>{"name" : "SOLICITACAO","field" : "solicitacao","type" : "VarChar","size" : "255","null" : "true"},</v>
      </c>
    </row>
    <row r="36" spans="1:19" x14ac:dyDescent="0.25">
      <c r="A36" s="6" t="s">
        <v>43</v>
      </c>
      <c r="B36" t="s">
        <v>43</v>
      </c>
      <c r="C36" t="s">
        <v>64</v>
      </c>
      <c r="D36" t="s">
        <v>65</v>
      </c>
      <c r="E36" t="s">
        <v>146</v>
      </c>
      <c r="F36">
        <v>255</v>
      </c>
      <c r="I36" t="s">
        <v>147</v>
      </c>
      <c r="J36" t="s">
        <v>148</v>
      </c>
      <c r="K36" t="s">
        <v>149</v>
      </c>
      <c r="L36" t="s">
        <v>150</v>
      </c>
      <c r="M36" t="s">
        <v>59</v>
      </c>
      <c r="N36" t="str">
        <f t="shared" si="10"/>
        <v>{"name" : "ESPECIALIDADE",</v>
      </c>
      <c r="O36" t="str">
        <f t="shared" si="11"/>
        <v>"field" : "especialidade",</v>
      </c>
      <c r="P36" t="str">
        <f t="shared" si="12"/>
        <v>"type" : "VarChar",</v>
      </c>
      <c r="Q36" t="str">
        <f t="shared" si="13"/>
        <v>"size" : "255",</v>
      </c>
      <c r="R36" t="str">
        <f t="shared" si="14"/>
        <v>"null" : "true"},</v>
      </c>
      <c r="S36" t="str">
        <f t="shared" si="15"/>
        <v>{"name" : "ESPECIALIDADE","field" : "especialidade","type" : "VarChar","size" : "255","null" : "true"},</v>
      </c>
    </row>
    <row r="37" spans="1:19" x14ac:dyDescent="0.25">
      <c r="A37" s="6" t="s">
        <v>43</v>
      </c>
      <c r="B37" t="s">
        <v>43</v>
      </c>
      <c r="C37" t="s">
        <v>66</v>
      </c>
      <c r="D37" t="s">
        <v>67</v>
      </c>
      <c r="E37" t="s">
        <v>146</v>
      </c>
      <c r="F37">
        <v>255</v>
      </c>
      <c r="I37" t="s">
        <v>147</v>
      </c>
      <c r="J37" t="s">
        <v>148</v>
      </c>
      <c r="K37" t="s">
        <v>149</v>
      </c>
      <c r="L37" t="s">
        <v>150</v>
      </c>
      <c r="M37" t="s">
        <v>59</v>
      </c>
      <c r="N37" t="str">
        <f t="shared" si="10"/>
        <v>{"name" : "ORIGEM",</v>
      </c>
      <c r="O37" t="str">
        <f t="shared" si="11"/>
        <v>"field" : "origem",</v>
      </c>
      <c r="P37" t="str">
        <f t="shared" si="12"/>
        <v>"type" : "VarChar",</v>
      </c>
      <c r="Q37" t="str">
        <f t="shared" si="13"/>
        <v>"size" : "255",</v>
      </c>
      <c r="R37" t="str">
        <f t="shared" si="14"/>
        <v>"null" : "true"},</v>
      </c>
      <c r="S37" t="str">
        <f t="shared" si="15"/>
        <v>{"name" : "ORIGEM","field" : "origem","type" : "VarChar","size" : "255","null" : "true"},</v>
      </c>
    </row>
    <row r="38" spans="1:19" x14ac:dyDescent="0.25">
      <c r="A38" s="6" t="s">
        <v>43</v>
      </c>
      <c r="B38" t="s">
        <v>43</v>
      </c>
      <c r="C38" t="s">
        <v>68</v>
      </c>
      <c r="D38" t="s">
        <v>69</v>
      </c>
      <c r="E38" t="s">
        <v>146</v>
      </c>
      <c r="F38">
        <v>255</v>
      </c>
      <c r="I38" t="s">
        <v>147</v>
      </c>
      <c r="J38" t="s">
        <v>148</v>
      </c>
      <c r="K38" t="s">
        <v>149</v>
      </c>
      <c r="L38" t="s">
        <v>150</v>
      </c>
      <c r="M38" t="s">
        <v>59</v>
      </c>
      <c r="N38" t="str">
        <f t="shared" si="10"/>
        <v>{"name" : "SOLICITANTE",</v>
      </c>
      <c r="O38" t="str">
        <f t="shared" si="11"/>
        <v>"field" : "solicitante",</v>
      </c>
      <c r="P38" t="str">
        <f t="shared" si="12"/>
        <v>"type" : "VarChar",</v>
      </c>
      <c r="Q38" t="str">
        <f t="shared" si="13"/>
        <v>"size" : "255",</v>
      </c>
      <c r="R38" t="str">
        <f t="shared" si="14"/>
        <v>"null" : "true"},</v>
      </c>
      <c r="S38" t="str">
        <f t="shared" si="15"/>
        <v>{"name" : "SOLICITANTE","field" : "solicitante","type" : "VarChar","size" : "255","null" : "true"},</v>
      </c>
    </row>
    <row r="39" spans="1:19" x14ac:dyDescent="0.25">
      <c r="A39" s="6" t="s">
        <v>43</v>
      </c>
      <c r="B39" t="s">
        <v>43</v>
      </c>
      <c r="C39" t="s">
        <v>70</v>
      </c>
      <c r="D39" t="s">
        <v>71</v>
      </c>
      <c r="E39" t="s">
        <v>146</v>
      </c>
      <c r="F39">
        <v>255</v>
      </c>
      <c r="I39" t="s">
        <v>147</v>
      </c>
      <c r="J39" t="s">
        <v>148</v>
      </c>
      <c r="K39" t="s">
        <v>149</v>
      </c>
      <c r="L39" t="s">
        <v>150</v>
      </c>
      <c r="M39" t="s">
        <v>59</v>
      </c>
      <c r="N39" t="str">
        <f t="shared" si="10"/>
        <v>{"name" : "EXECUTANTE",</v>
      </c>
      <c r="O39" t="str">
        <f t="shared" si="11"/>
        <v>"field" : "executante",</v>
      </c>
      <c r="P39" t="str">
        <f t="shared" si="12"/>
        <v>"type" : "VarChar",</v>
      </c>
      <c r="Q39" t="str">
        <f t="shared" si="13"/>
        <v>"size" : "255",</v>
      </c>
      <c r="R39" t="str">
        <f t="shared" si="14"/>
        <v>"null" : "true"},</v>
      </c>
      <c r="S39" t="str">
        <f t="shared" si="15"/>
        <v>{"name" : "EXECUTANTE","field" : "executante","type" : "VarChar","size" : "255","null" : "true"},</v>
      </c>
    </row>
    <row r="40" spans="1:19" x14ac:dyDescent="0.25">
      <c r="A40" s="6" t="s">
        <v>43</v>
      </c>
      <c r="B40" t="s">
        <v>43</v>
      </c>
      <c r="C40" t="s">
        <v>72</v>
      </c>
      <c r="D40" t="s">
        <v>73</v>
      </c>
      <c r="E40" t="s">
        <v>146</v>
      </c>
      <c r="F40">
        <v>255</v>
      </c>
      <c r="I40" t="s">
        <v>147</v>
      </c>
      <c r="J40" t="s">
        <v>148</v>
      </c>
      <c r="K40" t="s">
        <v>149</v>
      </c>
      <c r="L40" t="s">
        <v>150</v>
      </c>
      <c r="M40" t="s">
        <v>59</v>
      </c>
      <c r="N40" t="str">
        <f t="shared" si="10"/>
        <v>{"name" : "MEDICO",</v>
      </c>
      <c r="O40" t="str">
        <f t="shared" si="11"/>
        <v>"field" : "medico",</v>
      </c>
      <c r="P40" t="str">
        <f t="shared" si="12"/>
        <v>"type" : "VarChar",</v>
      </c>
      <c r="Q40" t="str">
        <f t="shared" si="13"/>
        <v>"size" : "255",</v>
      </c>
      <c r="R40" t="str">
        <f t="shared" si="14"/>
        <v>"null" : "true"},</v>
      </c>
      <c r="S40" t="str">
        <f t="shared" si="15"/>
        <v>{"name" : "MEDICO","field" : "medico","type" : "VarChar","size" : "255","null" : "true"},</v>
      </c>
    </row>
    <row r="41" spans="1:19" x14ac:dyDescent="0.25">
      <c r="A41" s="6" t="s">
        <v>43</v>
      </c>
      <c r="B41" t="s">
        <v>43</v>
      </c>
      <c r="C41" t="s">
        <v>74</v>
      </c>
      <c r="D41" t="s">
        <v>75</v>
      </c>
      <c r="E41" t="s">
        <v>76</v>
      </c>
      <c r="F41">
        <v>10</v>
      </c>
      <c r="I41" t="s">
        <v>147</v>
      </c>
      <c r="J41" t="s">
        <v>148</v>
      </c>
      <c r="K41" t="s">
        <v>149</v>
      </c>
      <c r="L41" t="s">
        <v>150</v>
      </c>
      <c r="M41" t="s">
        <v>59</v>
      </c>
      <c r="N41" t="str">
        <f t="shared" si="10"/>
        <v>{"name" : "DATA_AGENDA",</v>
      </c>
      <c r="O41" t="str">
        <f t="shared" si="11"/>
        <v>"field" : "dataAgenda",</v>
      </c>
      <c r="P41" t="str">
        <f t="shared" si="12"/>
        <v>"type" : "Date",</v>
      </c>
      <c r="Q41" t="str">
        <f t="shared" si="13"/>
        <v>"size" : "10",</v>
      </c>
      <c r="R41" t="str">
        <f t="shared" si="14"/>
        <v>"null" : "true"},</v>
      </c>
      <c r="S41" t="str">
        <f t="shared" si="15"/>
        <v>{"name" : "DATA_AGENDA","field" : "dataAgenda","type" : "Date","size" : "10","null" : "true"},</v>
      </c>
    </row>
    <row r="42" spans="1:19" x14ac:dyDescent="0.25">
      <c r="A42" s="6" t="s">
        <v>43</v>
      </c>
      <c r="B42" t="s">
        <v>43</v>
      </c>
      <c r="C42" t="s">
        <v>77</v>
      </c>
      <c r="D42" t="s">
        <v>78</v>
      </c>
      <c r="E42" t="s">
        <v>79</v>
      </c>
      <c r="F42">
        <v>10</v>
      </c>
      <c r="I42" t="s">
        <v>147</v>
      </c>
      <c r="J42" t="s">
        <v>148</v>
      </c>
      <c r="K42" t="s">
        <v>149</v>
      </c>
      <c r="L42" t="s">
        <v>150</v>
      </c>
      <c r="M42" t="s">
        <v>59</v>
      </c>
      <c r="N42" t="str">
        <f t="shared" si="10"/>
        <v>{"name" : "HORA_AGENDA",</v>
      </c>
      <c r="O42" t="str">
        <f t="shared" si="11"/>
        <v>"field" : "horaAgenda",</v>
      </c>
      <c r="P42" t="str">
        <f t="shared" si="12"/>
        <v>"type" : "Time",</v>
      </c>
      <c r="Q42" t="str">
        <f t="shared" si="13"/>
        <v>"size" : "10",</v>
      </c>
      <c r="R42" t="str">
        <f t="shared" si="14"/>
        <v>"null" : "true"},</v>
      </c>
      <c r="S42" t="str">
        <f t="shared" si="15"/>
        <v>{"name" : "HORA_AGENDA","field" : "horaAgenda","type" : "Time","size" : "10","null" : "true"},</v>
      </c>
    </row>
    <row r="43" spans="1:19" x14ac:dyDescent="0.25">
      <c r="A43" s="6" t="s">
        <v>43</v>
      </c>
      <c r="B43" t="s">
        <v>43</v>
      </c>
      <c r="C43" t="s">
        <v>80</v>
      </c>
      <c r="D43" t="s">
        <v>81</v>
      </c>
      <c r="E43" t="s">
        <v>76</v>
      </c>
      <c r="F43">
        <v>5</v>
      </c>
      <c r="I43" t="s">
        <v>147</v>
      </c>
      <c r="J43" t="s">
        <v>148</v>
      </c>
      <c r="K43" t="s">
        <v>149</v>
      </c>
      <c r="L43" t="s">
        <v>150</v>
      </c>
      <c r="M43" t="s">
        <v>59</v>
      </c>
      <c r="N43" t="str">
        <f t="shared" si="10"/>
        <v>{"name" : "DATA_RETORNO_OBRIGATORIO",</v>
      </c>
      <c r="O43" t="str">
        <f t="shared" si="11"/>
        <v>"field" : "dataRetornoObrigatorio",</v>
      </c>
      <c r="P43" t="str">
        <f t="shared" si="12"/>
        <v>"type" : "Date",</v>
      </c>
      <c r="Q43" t="str">
        <f t="shared" si="13"/>
        <v>"size" : "5",</v>
      </c>
      <c r="R43" t="str">
        <f t="shared" si="14"/>
        <v>"null" : "true"},</v>
      </c>
      <c r="S43" t="str">
        <f t="shared" si="15"/>
        <v>{"name" : "DATA_RETORNO_OBRIGATORIO","field" : "dataRetornoObrigatorio","type" : "Date","size" : "5","null" : "true"},</v>
      </c>
    </row>
    <row r="44" spans="1:19" x14ac:dyDescent="0.25">
      <c r="A44" s="6" t="s">
        <v>43</v>
      </c>
      <c r="B44" t="s">
        <v>43</v>
      </c>
      <c r="C44" t="s">
        <v>84</v>
      </c>
      <c r="D44" t="s">
        <v>85</v>
      </c>
      <c r="E44" t="s">
        <v>146</v>
      </c>
      <c r="F44">
        <v>255</v>
      </c>
      <c r="I44" t="s">
        <v>147</v>
      </c>
      <c r="J44" t="s">
        <v>148</v>
      </c>
      <c r="K44" t="s">
        <v>149</v>
      </c>
      <c r="L44" t="s">
        <v>150</v>
      </c>
      <c r="M44" t="s">
        <v>59</v>
      </c>
      <c r="N44" t="str">
        <f t="shared" si="10"/>
        <v>{"name" : "SITUACAO_ATUAL",</v>
      </c>
      <c r="O44" t="str">
        <f t="shared" si="11"/>
        <v>"field" : "situacaoAtual",</v>
      </c>
      <c r="P44" t="str">
        <f t="shared" si="12"/>
        <v>"type" : "VarChar",</v>
      </c>
      <c r="Q44" t="str">
        <f t="shared" si="13"/>
        <v>"size" : "255",</v>
      </c>
      <c r="R44" t="str">
        <f t="shared" si="14"/>
        <v>"null" : "true"},</v>
      </c>
      <c r="S44" t="str">
        <f t="shared" si="15"/>
        <v>{"name" : "SITUACAO_ATUAL","field" : "situacaoAtual","type" : "VarChar","size" : "255","null" : "true"},</v>
      </c>
    </row>
    <row r="45" spans="1:19" x14ac:dyDescent="0.25">
      <c r="A45" s="6" t="s">
        <v>43</v>
      </c>
      <c r="B45" t="s">
        <v>43</v>
      </c>
      <c r="C45" t="s">
        <v>86</v>
      </c>
      <c r="D45" t="s">
        <v>87</v>
      </c>
      <c r="E45" t="s">
        <v>146</v>
      </c>
      <c r="F45">
        <v>255</v>
      </c>
      <c r="I45" t="s">
        <v>147</v>
      </c>
      <c r="J45" t="s">
        <v>148</v>
      </c>
      <c r="K45" t="s">
        <v>149</v>
      </c>
      <c r="L45" t="s">
        <v>150</v>
      </c>
      <c r="M45" t="s">
        <v>59</v>
      </c>
      <c r="N45" t="str">
        <f t="shared" si="10"/>
        <v>{"name" : "MEDICO_REQUERIDO",</v>
      </c>
      <c r="O45" t="str">
        <f t="shared" si="11"/>
        <v>"field" : "medicoRequerido",</v>
      </c>
      <c r="P45" t="str">
        <f t="shared" si="12"/>
        <v>"type" : "VarChar",</v>
      </c>
      <c r="Q45" t="str">
        <f t="shared" si="13"/>
        <v>"size" : "255",</v>
      </c>
      <c r="R45" t="str">
        <f t="shared" si="14"/>
        <v>"null" : "true"},</v>
      </c>
      <c r="S45" t="str">
        <f t="shared" si="15"/>
        <v>{"name" : "MEDICO_REQUERIDO","field" : "medicoRequerido","type" : "VarChar","size" : "255","null" : "true"},</v>
      </c>
    </row>
    <row r="46" spans="1:19" x14ac:dyDescent="0.25">
      <c r="A46" s="6" t="s">
        <v>43</v>
      </c>
      <c r="B46" t="s">
        <v>43</v>
      </c>
      <c r="C46" t="s">
        <v>88</v>
      </c>
      <c r="D46" t="s">
        <v>89</v>
      </c>
      <c r="E46" t="s">
        <v>146</v>
      </c>
      <c r="F46">
        <v>255</v>
      </c>
      <c r="I46" t="s">
        <v>147</v>
      </c>
      <c r="J46" t="s">
        <v>148</v>
      </c>
      <c r="K46" t="s">
        <v>149</v>
      </c>
      <c r="L46" t="s">
        <v>150</v>
      </c>
      <c r="M46" t="s">
        <v>59</v>
      </c>
      <c r="N46" t="str">
        <f t="shared" si="10"/>
        <v>{"name" : "UNIDADE_REQUERIDA",</v>
      </c>
      <c r="O46" t="str">
        <f t="shared" si="11"/>
        <v>"field" : "unidadeRequerida",</v>
      </c>
      <c r="P46" t="str">
        <f t="shared" si="12"/>
        <v>"type" : "VarChar",</v>
      </c>
      <c r="Q46" t="str">
        <f t="shared" si="13"/>
        <v>"size" : "255",</v>
      </c>
      <c r="R46" t="str">
        <f t="shared" si="14"/>
        <v>"null" : "true"},</v>
      </c>
      <c r="S46" t="str">
        <f t="shared" si="15"/>
        <v>{"name" : "UNIDADE_REQUERIDA","field" : "unidadeRequerida","type" : "VarChar","size" : "255","null" : "true"},</v>
      </c>
    </row>
    <row r="47" spans="1:19" x14ac:dyDescent="0.25">
      <c r="A47" s="6" t="s">
        <v>43</v>
      </c>
      <c r="B47" t="s">
        <v>43</v>
      </c>
      <c r="C47" t="s">
        <v>82</v>
      </c>
      <c r="D47" t="s">
        <v>83</v>
      </c>
      <c r="E47" t="s">
        <v>146</v>
      </c>
      <c r="F47">
        <v>255</v>
      </c>
      <c r="I47" t="s">
        <v>147</v>
      </c>
      <c r="J47" t="s">
        <v>148</v>
      </c>
      <c r="K47" t="s">
        <v>149</v>
      </c>
      <c r="L47" t="s">
        <v>150</v>
      </c>
      <c r="M47" t="s">
        <v>59</v>
      </c>
      <c r="N47" t="str">
        <f t="shared" si="10"/>
        <v>{"name" : "TIPO_BUSCA",</v>
      </c>
      <c r="O47" t="str">
        <f t="shared" si="11"/>
        <v>"field" : "tipoBusca",</v>
      </c>
      <c r="P47" t="str">
        <f t="shared" si="12"/>
        <v>"type" : "VarChar",</v>
      </c>
      <c r="Q47" t="str">
        <f t="shared" si="13"/>
        <v>"size" : "255",</v>
      </c>
      <c r="R47" t="str">
        <f t="shared" si="14"/>
        <v>"null" : "true"},</v>
      </c>
      <c r="S47" t="str">
        <f t="shared" si="15"/>
        <v>{"name" : "TIPO_BUSCA","field" : "tipoBusca","type" : "VarChar","size" : "255","null" : "true"},</v>
      </c>
    </row>
    <row r="48" spans="1:19" x14ac:dyDescent="0.25">
      <c r="A48" s="6" t="s">
        <v>43</v>
      </c>
      <c r="B48" t="s">
        <v>43</v>
      </c>
      <c r="C48" t="s">
        <v>90</v>
      </c>
      <c r="D48" t="s">
        <v>91</v>
      </c>
      <c r="E48" t="s">
        <v>146</v>
      </c>
      <c r="F48">
        <v>255</v>
      </c>
      <c r="I48" t="s">
        <v>147</v>
      </c>
      <c r="J48" t="s">
        <v>148</v>
      </c>
      <c r="K48" t="s">
        <v>149</v>
      </c>
      <c r="L48" t="s">
        <v>150</v>
      </c>
      <c r="M48" t="s">
        <v>59</v>
      </c>
      <c r="N48" t="str">
        <f t="shared" si="10"/>
        <v>{"name" : "TIPO_MARCACAO",</v>
      </c>
      <c r="O48" t="str">
        <f t="shared" si="11"/>
        <v>"field" : "tipoMarcacao",</v>
      </c>
      <c r="P48" t="str">
        <f t="shared" si="12"/>
        <v>"type" : "VarChar",</v>
      </c>
      <c r="Q48" t="str">
        <f t="shared" si="13"/>
        <v>"size" : "255",</v>
      </c>
      <c r="R48" t="str">
        <f t="shared" si="14"/>
        <v>"null" : "true"},</v>
      </c>
      <c r="S48" t="str">
        <f t="shared" si="15"/>
        <v>{"name" : "TIPO_MARCACAO","field" : "tipoMarcacao","type" : "VarChar","size" : "255","null" : "true"},</v>
      </c>
    </row>
    <row r="49" spans="1:19" x14ac:dyDescent="0.25">
      <c r="A49" s="6" t="s">
        <v>43</v>
      </c>
      <c r="B49" t="s">
        <v>43</v>
      </c>
      <c r="C49" t="s">
        <v>92</v>
      </c>
      <c r="D49" t="s">
        <v>93</v>
      </c>
      <c r="E49" t="s">
        <v>146</v>
      </c>
      <c r="F49">
        <v>255</v>
      </c>
      <c r="I49" t="s">
        <v>147</v>
      </c>
      <c r="J49" t="s">
        <v>148</v>
      </c>
      <c r="K49" t="s">
        <v>149</v>
      </c>
      <c r="L49" t="s">
        <v>150</v>
      </c>
      <c r="M49" t="s">
        <v>59</v>
      </c>
      <c r="N49" t="str">
        <f t="shared" si="10"/>
        <v>{"name" : "PROCEDENCIA_PACIENTE",</v>
      </c>
      <c r="O49" t="str">
        <f t="shared" si="11"/>
        <v>"field" : "procedencia",</v>
      </c>
      <c r="P49" t="str">
        <f t="shared" si="12"/>
        <v>"type" : "VarChar",</v>
      </c>
      <c r="Q49" t="str">
        <f t="shared" si="13"/>
        <v>"size" : "255",</v>
      </c>
      <c r="R49" t="str">
        <f t="shared" si="14"/>
        <v>"null" : "true"},</v>
      </c>
      <c r="S49" t="str">
        <f t="shared" si="15"/>
        <v>{"name" : "PROCEDENCIA_PACIENTE","field" : "procedencia","type" : "VarChar","size" : "255","null" : "true"},</v>
      </c>
    </row>
    <row r="50" spans="1:19" x14ac:dyDescent="0.25">
      <c r="A50" s="7"/>
    </row>
    <row r="51" spans="1:19" x14ac:dyDescent="0.25">
      <c r="A51" s="6" t="s">
        <v>33</v>
      </c>
    </row>
    <row r="52" spans="1:19" x14ac:dyDescent="0.25">
      <c r="A52" s="6" t="s">
        <v>43</v>
      </c>
      <c r="B52" t="s">
        <v>43</v>
      </c>
      <c r="C52" t="s">
        <v>44</v>
      </c>
      <c r="D52" t="s">
        <v>97</v>
      </c>
    </row>
    <row r="53" spans="1:19" x14ac:dyDescent="0.25">
      <c r="A53" s="6" t="s">
        <v>43</v>
      </c>
      <c r="B53" t="s">
        <v>43</v>
      </c>
      <c r="C53" t="s">
        <v>46</v>
      </c>
      <c r="D53" t="s">
        <v>47</v>
      </c>
    </row>
    <row r="54" spans="1:19" x14ac:dyDescent="0.25">
      <c r="A54" s="6" t="s">
        <v>43</v>
      </c>
      <c r="B54" t="s">
        <v>43</v>
      </c>
      <c r="C54" t="s">
        <v>48</v>
      </c>
      <c r="D54" t="s">
        <v>49</v>
      </c>
    </row>
    <row r="55" spans="1:19" x14ac:dyDescent="0.25">
      <c r="A55" s="6" t="s">
        <v>43</v>
      </c>
      <c r="B55" t="s">
        <v>43</v>
      </c>
      <c r="C55" t="s">
        <v>50</v>
      </c>
      <c r="D55" t="s">
        <v>51</v>
      </c>
    </row>
    <row r="56" spans="1:19" x14ac:dyDescent="0.25">
      <c r="A56" s="6" t="s">
        <v>43</v>
      </c>
      <c r="B56" t="s">
        <v>43</v>
      </c>
      <c r="C56" t="s">
        <v>52</v>
      </c>
      <c r="D56" t="s">
        <v>53</v>
      </c>
    </row>
    <row r="57" spans="1:19" x14ac:dyDescent="0.25">
      <c r="A57" s="6" t="s">
        <v>43</v>
      </c>
      <c r="B57" t="s">
        <v>43</v>
      </c>
      <c r="C57" t="s">
        <v>54</v>
      </c>
      <c r="D57" t="s">
        <v>55</v>
      </c>
    </row>
    <row r="58" spans="1:19" x14ac:dyDescent="0.25">
      <c r="A58" s="6" t="s">
        <v>43</v>
      </c>
      <c r="B58" t="s">
        <v>43</v>
      </c>
      <c r="C58" t="s">
        <v>56</v>
      </c>
      <c r="D58" t="s">
        <v>57</v>
      </c>
      <c r="E58" t="s">
        <v>146</v>
      </c>
      <c r="F58">
        <v>255</v>
      </c>
      <c r="G58" t="s">
        <v>95</v>
      </c>
      <c r="H58" t="s">
        <v>96</v>
      </c>
      <c r="I58" t="s">
        <v>147</v>
      </c>
      <c r="J58" t="s">
        <v>148</v>
      </c>
      <c r="K58" t="s">
        <v>149</v>
      </c>
      <c r="L58" t="s">
        <v>150</v>
      </c>
      <c r="M58" t="s">
        <v>59</v>
      </c>
      <c r="N58" t="str">
        <f t="shared" ref="N58:N78" si="16">"{"&amp;CHAR(34)&amp;I58&amp;CHAR(34)&amp;" : "&amp;CHAR(34)&amp;C58&amp;CHAR(34)&amp;","</f>
        <v>{"name" : "CENTRAL",</v>
      </c>
      <c r="O58" t="str">
        <f t="shared" ref="O58:O78" si="17">CHAR(34)&amp;J58&amp;CHAR(34)&amp;" : "&amp;CHAR(34)&amp;D58&amp;CHAR(34)&amp;","</f>
        <v>"field" : "central",</v>
      </c>
      <c r="P58" t="str">
        <f t="shared" ref="P58:P78" si="18">CHAR(34)&amp;K58&amp;CHAR(34)&amp;" : "&amp;CHAR(34)&amp;E58&amp;CHAR(34)&amp;","</f>
        <v>"type" : "VarChar",</v>
      </c>
      <c r="Q58" t="str">
        <f t="shared" ref="Q58:Q78" si="19">CHAR(34)&amp;L58&amp;CHAR(34)&amp;" : "&amp;CHAR(34)&amp;F58&amp;CHAR(34)&amp;","</f>
        <v>"size" : "255",</v>
      </c>
      <c r="R58" t="str">
        <f t="shared" ref="R58:R78" si="20">CHAR(34)&amp;M58&amp;CHAR(34)&amp;" : "&amp;CHAR(34)&amp;IF(G58="not","false","true")&amp;CHAR(34)&amp;"},"</f>
        <v>"null" : "false"},</v>
      </c>
      <c r="S58" t="str">
        <f t="shared" ref="S58:S78" si="21">N58&amp;O58&amp;P58&amp;Q58&amp;R58</f>
        <v>{"name" : "CENTRAL","field" : "central","type" : "VarChar","size" : "255","null" : "false"},</v>
      </c>
    </row>
    <row r="59" spans="1:19" x14ac:dyDescent="0.25">
      <c r="A59" s="6" t="s">
        <v>43</v>
      </c>
      <c r="B59" t="s">
        <v>43</v>
      </c>
      <c r="C59" t="s">
        <v>60</v>
      </c>
      <c r="D59" t="s">
        <v>61</v>
      </c>
      <c r="E59" t="s">
        <v>146</v>
      </c>
      <c r="F59">
        <v>255</v>
      </c>
      <c r="I59" t="s">
        <v>147</v>
      </c>
      <c r="J59" t="s">
        <v>148</v>
      </c>
      <c r="K59" t="s">
        <v>149</v>
      </c>
      <c r="L59" t="s">
        <v>150</v>
      </c>
      <c r="M59" t="s">
        <v>59</v>
      </c>
      <c r="N59" t="str">
        <f t="shared" si="16"/>
        <v>{"name" : "FICHA",</v>
      </c>
      <c r="O59" t="str">
        <f t="shared" si="17"/>
        <v>"field" : "ficha",</v>
      </c>
      <c r="P59" t="str">
        <f t="shared" si="18"/>
        <v>"type" : "VarChar",</v>
      </c>
      <c r="Q59" t="str">
        <f t="shared" si="19"/>
        <v>"size" : "255",</v>
      </c>
      <c r="R59" t="str">
        <f t="shared" si="20"/>
        <v>"null" : "true"},</v>
      </c>
      <c r="S59" t="str">
        <f t="shared" si="21"/>
        <v>{"name" : "FICHA","field" : "ficha","type" : "VarChar","size" : "255","null" : "true"},</v>
      </c>
    </row>
    <row r="60" spans="1:19" x14ac:dyDescent="0.25">
      <c r="A60" s="6" t="s">
        <v>43</v>
      </c>
      <c r="B60" t="s">
        <v>43</v>
      </c>
      <c r="C60" t="s">
        <v>62</v>
      </c>
      <c r="D60" t="s">
        <v>63</v>
      </c>
      <c r="E60" t="s">
        <v>76</v>
      </c>
      <c r="F60">
        <v>10</v>
      </c>
      <c r="I60" t="s">
        <v>147</v>
      </c>
      <c r="J60" t="s">
        <v>148</v>
      </c>
      <c r="K60" t="s">
        <v>149</v>
      </c>
      <c r="L60" t="s">
        <v>150</v>
      </c>
      <c r="M60" t="s">
        <v>59</v>
      </c>
      <c r="N60" t="str">
        <f t="shared" si="16"/>
        <v>{"name" : "SOLICITACAO",</v>
      </c>
      <c r="O60" t="str">
        <f t="shared" si="17"/>
        <v>"field" : "solicitacao",</v>
      </c>
      <c r="P60" t="str">
        <f t="shared" si="18"/>
        <v>"type" : "Date",</v>
      </c>
      <c r="Q60" t="str">
        <f t="shared" si="19"/>
        <v>"size" : "10",</v>
      </c>
      <c r="R60" t="str">
        <f t="shared" si="20"/>
        <v>"null" : "true"},</v>
      </c>
      <c r="S60" t="str">
        <f t="shared" si="21"/>
        <v>{"name" : "SOLICITACAO","field" : "solicitacao","type" : "Date","size" : "10","null" : "true"},</v>
      </c>
    </row>
    <row r="61" spans="1:19" x14ac:dyDescent="0.25">
      <c r="A61" s="6" t="s">
        <v>43</v>
      </c>
      <c r="B61" t="s">
        <v>43</v>
      </c>
      <c r="C61" t="s">
        <v>64</v>
      </c>
      <c r="D61" t="s">
        <v>65</v>
      </c>
      <c r="E61" t="s">
        <v>146</v>
      </c>
      <c r="F61">
        <v>255</v>
      </c>
      <c r="I61" t="s">
        <v>147</v>
      </c>
      <c r="J61" t="s">
        <v>148</v>
      </c>
      <c r="K61" t="s">
        <v>149</v>
      </c>
      <c r="L61" t="s">
        <v>150</v>
      </c>
      <c r="M61" t="s">
        <v>59</v>
      </c>
      <c r="N61" t="str">
        <f t="shared" si="16"/>
        <v>{"name" : "ESPECIALIDADE",</v>
      </c>
      <c r="O61" t="str">
        <f t="shared" si="17"/>
        <v>"field" : "especialidade",</v>
      </c>
      <c r="P61" t="str">
        <f t="shared" si="18"/>
        <v>"type" : "VarChar",</v>
      </c>
      <c r="Q61" t="str">
        <f t="shared" si="19"/>
        <v>"size" : "255",</v>
      </c>
      <c r="R61" t="str">
        <f t="shared" si="20"/>
        <v>"null" : "true"},</v>
      </c>
      <c r="S61" t="str">
        <f t="shared" si="21"/>
        <v>{"name" : "ESPECIALIDADE","field" : "especialidade","type" : "VarChar","size" : "255","null" : "true"},</v>
      </c>
    </row>
    <row r="62" spans="1:19" x14ac:dyDescent="0.25">
      <c r="A62" s="6" t="s">
        <v>43</v>
      </c>
      <c r="B62" t="s">
        <v>43</v>
      </c>
      <c r="C62" t="s">
        <v>66</v>
      </c>
      <c r="D62" t="s">
        <v>67</v>
      </c>
      <c r="E62" t="s">
        <v>146</v>
      </c>
      <c r="F62">
        <v>255</v>
      </c>
      <c r="I62" t="s">
        <v>147</v>
      </c>
      <c r="J62" t="s">
        <v>148</v>
      </c>
      <c r="K62" t="s">
        <v>149</v>
      </c>
      <c r="L62" t="s">
        <v>150</v>
      </c>
      <c r="M62" t="s">
        <v>59</v>
      </c>
      <c r="N62" t="str">
        <f t="shared" si="16"/>
        <v>{"name" : "ORIGEM",</v>
      </c>
      <c r="O62" t="str">
        <f t="shared" si="17"/>
        <v>"field" : "origem",</v>
      </c>
      <c r="P62" t="str">
        <f t="shared" si="18"/>
        <v>"type" : "VarChar",</v>
      </c>
      <c r="Q62" t="str">
        <f t="shared" si="19"/>
        <v>"size" : "255",</v>
      </c>
      <c r="R62" t="str">
        <f t="shared" si="20"/>
        <v>"null" : "true"},</v>
      </c>
      <c r="S62" t="str">
        <f t="shared" si="21"/>
        <v>{"name" : "ORIGEM","field" : "origem","type" : "VarChar","size" : "255","null" : "true"},</v>
      </c>
    </row>
    <row r="63" spans="1:19" x14ac:dyDescent="0.25">
      <c r="A63" s="6" t="s">
        <v>43</v>
      </c>
      <c r="B63" t="s">
        <v>43</v>
      </c>
      <c r="C63" t="s">
        <v>68</v>
      </c>
      <c r="D63" t="s">
        <v>69</v>
      </c>
      <c r="E63" t="s">
        <v>146</v>
      </c>
      <c r="F63">
        <v>255</v>
      </c>
      <c r="I63" t="s">
        <v>147</v>
      </c>
      <c r="J63" t="s">
        <v>148</v>
      </c>
      <c r="K63" t="s">
        <v>149</v>
      </c>
      <c r="L63" t="s">
        <v>150</v>
      </c>
      <c r="M63" t="s">
        <v>59</v>
      </c>
      <c r="N63" t="str">
        <f t="shared" si="16"/>
        <v>{"name" : "SOLICITANTE",</v>
      </c>
      <c r="O63" t="str">
        <f t="shared" si="17"/>
        <v>"field" : "solicitante",</v>
      </c>
      <c r="P63" t="str">
        <f t="shared" si="18"/>
        <v>"type" : "VarChar",</v>
      </c>
      <c r="Q63" t="str">
        <f t="shared" si="19"/>
        <v>"size" : "255",</v>
      </c>
      <c r="R63" t="str">
        <f t="shared" si="20"/>
        <v>"null" : "true"},</v>
      </c>
      <c r="S63" t="str">
        <f t="shared" si="21"/>
        <v>{"name" : "SOLICITANTE","field" : "solicitante","type" : "VarChar","size" : "255","null" : "true"},</v>
      </c>
    </row>
    <row r="64" spans="1:19" x14ac:dyDescent="0.25">
      <c r="A64" s="6" t="s">
        <v>43</v>
      </c>
      <c r="B64" t="s">
        <v>43</v>
      </c>
      <c r="C64" t="s">
        <v>70</v>
      </c>
      <c r="D64" t="s">
        <v>71</v>
      </c>
      <c r="E64" t="s">
        <v>146</v>
      </c>
      <c r="F64">
        <v>255</v>
      </c>
      <c r="I64" t="s">
        <v>147</v>
      </c>
      <c r="J64" t="s">
        <v>148</v>
      </c>
      <c r="K64" t="s">
        <v>149</v>
      </c>
      <c r="L64" t="s">
        <v>150</v>
      </c>
      <c r="M64" t="s">
        <v>59</v>
      </c>
      <c r="N64" t="str">
        <f t="shared" si="16"/>
        <v>{"name" : "EXECUTANTE",</v>
      </c>
      <c r="O64" t="str">
        <f t="shared" si="17"/>
        <v>"field" : "executante",</v>
      </c>
      <c r="P64" t="str">
        <f t="shared" si="18"/>
        <v>"type" : "VarChar",</v>
      </c>
      <c r="Q64" t="str">
        <f t="shared" si="19"/>
        <v>"size" : "255",</v>
      </c>
      <c r="R64" t="str">
        <f t="shared" si="20"/>
        <v>"null" : "true"},</v>
      </c>
      <c r="S64" t="str">
        <f t="shared" si="21"/>
        <v>{"name" : "EXECUTANTE","field" : "executante","type" : "VarChar","size" : "255","null" : "true"},</v>
      </c>
    </row>
    <row r="65" spans="1:19" x14ac:dyDescent="0.25">
      <c r="A65" s="6" t="s">
        <v>43</v>
      </c>
      <c r="B65" t="s">
        <v>43</v>
      </c>
      <c r="C65" t="s">
        <v>72</v>
      </c>
      <c r="D65" t="s">
        <v>73</v>
      </c>
      <c r="E65" t="s">
        <v>146</v>
      </c>
      <c r="F65">
        <v>255</v>
      </c>
      <c r="I65" t="s">
        <v>147</v>
      </c>
      <c r="J65" t="s">
        <v>148</v>
      </c>
      <c r="K65" t="s">
        <v>149</v>
      </c>
      <c r="L65" t="s">
        <v>150</v>
      </c>
      <c r="M65" t="s">
        <v>59</v>
      </c>
      <c r="N65" t="str">
        <f t="shared" si="16"/>
        <v>{"name" : "MEDICO",</v>
      </c>
      <c r="O65" t="str">
        <f t="shared" si="17"/>
        <v>"field" : "medico",</v>
      </c>
      <c r="P65" t="str">
        <f t="shared" si="18"/>
        <v>"type" : "VarChar",</v>
      </c>
      <c r="Q65" t="str">
        <f t="shared" si="19"/>
        <v>"size" : "255",</v>
      </c>
      <c r="R65" t="str">
        <f t="shared" si="20"/>
        <v>"null" : "true"},</v>
      </c>
      <c r="S65" t="str">
        <f t="shared" si="21"/>
        <v>{"name" : "MEDICO","field" : "medico","type" : "VarChar","size" : "255","null" : "true"},</v>
      </c>
    </row>
    <row r="66" spans="1:19" x14ac:dyDescent="0.25">
      <c r="A66" s="6" t="s">
        <v>43</v>
      </c>
      <c r="B66" t="s">
        <v>43</v>
      </c>
      <c r="C66" t="s">
        <v>74</v>
      </c>
      <c r="D66" t="s">
        <v>75</v>
      </c>
      <c r="E66" t="s">
        <v>76</v>
      </c>
      <c r="F66">
        <v>10</v>
      </c>
      <c r="I66" t="s">
        <v>147</v>
      </c>
      <c r="J66" t="s">
        <v>148</v>
      </c>
      <c r="K66" t="s">
        <v>149</v>
      </c>
      <c r="L66" t="s">
        <v>150</v>
      </c>
      <c r="M66" t="s">
        <v>59</v>
      </c>
      <c r="N66" t="str">
        <f t="shared" si="16"/>
        <v>{"name" : "DATA_AGENDA",</v>
      </c>
      <c r="O66" t="str">
        <f t="shared" si="17"/>
        <v>"field" : "dataAgenda",</v>
      </c>
      <c r="P66" t="str">
        <f t="shared" si="18"/>
        <v>"type" : "Date",</v>
      </c>
      <c r="Q66" t="str">
        <f t="shared" si="19"/>
        <v>"size" : "10",</v>
      </c>
      <c r="R66" t="str">
        <f t="shared" si="20"/>
        <v>"null" : "true"},</v>
      </c>
      <c r="S66" t="str">
        <f t="shared" si="21"/>
        <v>{"name" : "DATA_AGENDA","field" : "dataAgenda","type" : "Date","size" : "10","null" : "true"},</v>
      </c>
    </row>
    <row r="67" spans="1:19" x14ac:dyDescent="0.25">
      <c r="A67" s="6" t="s">
        <v>43</v>
      </c>
      <c r="B67" t="s">
        <v>43</v>
      </c>
      <c r="C67" t="s">
        <v>77</v>
      </c>
      <c r="D67" t="s">
        <v>78</v>
      </c>
      <c r="E67" t="s">
        <v>79</v>
      </c>
      <c r="F67">
        <v>5</v>
      </c>
      <c r="I67" t="s">
        <v>147</v>
      </c>
      <c r="J67" t="s">
        <v>148</v>
      </c>
      <c r="K67" t="s">
        <v>149</v>
      </c>
      <c r="L67" t="s">
        <v>150</v>
      </c>
      <c r="M67" t="s">
        <v>59</v>
      </c>
      <c r="N67" t="str">
        <f t="shared" si="16"/>
        <v>{"name" : "HORA_AGENDA",</v>
      </c>
      <c r="O67" t="str">
        <f t="shared" si="17"/>
        <v>"field" : "horaAgenda",</v>
      </c>
      <c r="P67" t="str">
        <f t="shared" si="18"/>
        <v>"type" : "Time",</v>
      </c>
      <c r="Q67" t="str">
        <f t="shared" si="19"/>
        <v>"size" : "5",</v>
      </c>
      <c r="R67" t="str">
        <f t="shared" si="20"/>
        <v>"null" : "true"},</v>
      </c>
      <c r="S67" t="str">
        <f t="shared" si="21"/>
        <v>{"name" : "HORA_AGENDA","field" : "horaAgenda","type" : "Time","size" : "5","null" : "true"},</v>
      </c>
    </row>
    <row r="68" spans="1:19" x14ac:dyDescent="0.25">
      <c r="A68" s="6" t="s">
        <v>43</v>
      </c>
      <c r="B68" t="s">
        <v>43</v>
      </c>
      <c r="C68" t="s">
        <v>82</v>
      </c>
      <c r="D68" t="s">
        <v>83</v>
      </c>
      <c r="E68" t="s">
        <v>146</v>
      </c>
      <c r="F68">
        <v>255</v>
      </c>
      <c r="I68" t="s">
        <v>147</v>
      </c>
      <c r="J68" t="s">
        <v>148</v>
      </c>
      <c r="K68" t="s">
        <v>149</v>
      </c>
      <c r="L68" t="s">
        <v>150</v>
      </c>
      <c r="M68" t="s">
        <v>59</v>
      </c>
      <c r="N68" t="str">
        <f t="shared" si="16"/>
        <v>{"name" : "TIPO_BUSCA",</v>
      </c>
      <c r="O68" t="str">
        <f t="shared" si="17"/>
        <v>"field" : "tipoBusca",</v>
      </c>
      <c r="P68" t="str">
        <f t="shared" si="18"/>
        <v>"type" : "VarChar",</v>
      </c>
      <c r="Q68" t="str">
        <f t="shared" si="19"/>
        <v>"size" : "255",</v>
      </c>
      <c r="R68" t="str">
        <f t="shared" si="20"/>
        <v>"null" : "true"},</v>
      </c>
      <c r="S68" t="str">
        <f t="shared" si="21"/>
        <v>{"name" : "TIPO_BUSCA","field" : "tipoBusca","type" : "VarChar","size" : "255","null" : "true"},</v>
      </c>
    </row>
    <row r="69" spans="1:19" x14ac:dyDescent="0.25">
      <c r="A69" s="6" t="s">
        <v>43</v>
      </c>
      <c r="B69" t="s">
        <v>43</v>
      </c>
      <c r="C69" t="s">
        <v>90</v>
      </c>
      <c r="D69" t="s">
        <v>91</v>
      </c>
      <c r="E69" t="s">
        <v>146</v>
      </c>
      <c r="F69">
        <v>255</v>
      </c>
      <c r="I69" t="s">
        <v>147</v>
      </c>
      <c r="J69" t="s">
        <v>148</v>
      </c>
      <c r="K69" t="s">
        <v>149</v>
      </c>
      <c r="L69" t="s">
        <v>150</v>
      </c>
      <c r="M69" t="s">
        <v>59</v>
      </c>
      <c r="N69" t="str">
        <f t="shared" si="16"/>
        <v>{"name" : "TIPO_MARCACAO",</v>
      </c>
      <c r="O69" t="str">
        <f t="shared" si="17"/>
        <v>"field" : "tipoMarcacao",</v>
      </c>
      <c r="P69" t="str">
        <f t="shared" si="18"/>
        <v>"type" : "VarChar",</v>
      </c>
      <c r="Q69" t="str">
        <f t="shared" si="19"/>
        <v>"size" : "255",</v>
      </c>
      <c r="R69" t="str">
        <f t="shared" si="20"/>
        <v>"null" : "true"},</v>
      </c>
      <c r="S69" t="str">
        <f t="shared" si="21"/>
        <v>{"name" : "TIPO_MARCACAO","field" : "tipoMarcacao","type" : "VarChar","size" : "255","null" : "true"},</v>
      </c>
    </row>
    <row r="70" spans="1:19" x14ac:dyDescent="0.25">
      <c r="A70" s="6" t="s">
        <v>43</v>
      </c>
      <c r="B70" t="s">
        <v>43</v>
      </c>
      <c r="C70" t="s">
        <v>92</v>
      </c>
      <c r="D70" t="s">
        <v>93</v>
      </c>
      <c r="E70" t="s">
        <v>146</v>
      </c>
      <c r="F70">
        <v>255</v>
      </c>
      <c r="I70" t="s">
        <v>147</v>
      </c>
      <c r="J70" t="s">
        <v>148</v>
      </c>
      <c r="K70" t="s">
        <v>149</v>
      </c>
      <c r="L70" t="s">
        <v>150</v>
      </c>
      <c r="M70" t="s">
        <v>59</v>
      </c>
      <c r="N70" t="str">
        <f t="shared" si="16"/>
        <v>{"name" : "PROCEDENCIA_PACIENTE",</v>
      </c>
      <c r="O70" t="str">
        <f t="shared" si="17"/>
        <v>"field" : "procedencia",</v>
      </c>
      <c r="P70" t="str">
        <f t="shared" si="18"/>
        <v>"type" : "VarChar",</v>
      </c>
      <c r="Q70" t="str">
        <f t="shared" si="19"/>
        <v>"size" : "255",</v>
      </c>
      <c r="R70" t="str">
        <f t="shared" si="20"/>
        <v>"null" : "true"},</v>
      </c>
      <c r="S70" t="str">
        <f t="shared" si="21"/>
        <v>{"name" : "PROCEDENCIA_PACIENTE","field" : "procedencia","type" : "VarChar","size" : "255","null" : "true"},</v>
      </c>
    </row>
    <row r="71" spans="1:19" x14ac:dyDescent="0.25">
      <c r="A71" s="6" t="s">
        <v>43</v>
      </c>
      <c r="B71" t="s">
        <v>43</v>
      </c>
      <c r="C71" t="s">
        <v>84</v>
      </c>
      <c r="D71" t="s">
        <v>85</v>
      </c>
      <c r="E71" t="s">
        <v>146</v>
      </c>
      <c r="F71">
        <v>255</v>
      </c>
      <c r="I71" t="s">
        <v>147</v>
      </c>
      <c r="J71" t="s">
        <v>148</v>
      </c>
      <c r="K71" t="s">
        <v>149</v>
      </c>
      <c r="L71" t="s">
        <v>150</v>
      </c>
      <c r="M71" t="s">
        <v>59</v>
      </c>
      <c r="N71" t="str">
        <f t="shared" si="16"/>
        <v>{"name" : "SITUACAO_ATUAL",</v>
      </c>
      <c r="O71" t="str">
        <f t="shared" si="17"/>
        <v>"field" : "situacaoAtual",</v>
      </c>
      <c r="P71" t="str">
        <f t="shared" si="18"/>
        <v>"type" : "VarChar",</v>
      </c>
      <c r="Q71" t="str">
        <f t="shared" si="19"/>
        <v>"size" : "255",</v>
      </c>
      <c r="R71" t="str">
        <f t="shared" si="20"/>
        <v>"null" : "true"},</v>
      </c>
      <c r="S71" t="str">
        <f t="shared" si="21"/>
        <v>{"name" : "SITUACAO_ATUAL","field" : "situacaoAtual","type" : "VarChar","size" : "255","null" : "true"},</v>
      </c>
    </row>
    <row r="72" spans="1:19" x14ac:dyDescent="0.25">
      <c r="A72" s="6" t="s">
        <v>43</v>
      </c>
      <c r="B72" t="s">
        <v>43</v>
      </c>
      <c r="C72" t="s">
        <v>86</v>
      </c>
      <c r="D72" t="s">
        <v>87</v>
      </c>
      <c r="E72" t="s">
        <v>146</v>
      </c>
      <c r="F72">
        <v>255</v>
      </c>
      <c r="I72" t="s">
        <v>147</v>
      </c>
      <c r="J72" t="s">
        <v>148</v>
      </c>
      <c r="K72" t="s">
        <v>149</v>
      </c>
      <c r="L72" t="s">
        <v>150</v>
      </c>
      <c r="M72" t="s">
        <v>59</v>
      </c>
      <c r="N72" t="str">
        <f t="shared" si="16"/>
        <v>{"name" : "MEDICO_REQUERIDO",</v>
      </c>
      <c r="O72" t="str">
        <f t="shared" si="17"/>
        <v>"field" : "medicoRequerido",</v>
      </c>
      <c r="P72" t="str">
        <f t="shared" si="18"/>
        <v>"type" : "VarChar",</v>
      </c>
      <c r="Q72" t="str">
        <f t="shared" si="19"/>
        <v>"size" : "255",</v>
      </c>
      <c r="R72" t="str">
        <f t="shared" si="20"/>
        <v>"null" : "true"},</v>
      </c>
      <c r="S72" t="str">
        <f t="shared" si="21"/>
        <v>{"name" : "MEDICO_REQUERIDO","field" : "medicoRequerido","type" : "VarChar","size" : "255","null" : "true"},</v>
      </c>
    </row>
    <row r="73" spans="1:19" x14ac:dyDescent="0.25">
      <c r="A73" s="6" t="s">
        <v>43</v>
      </c>
      <c r="B73" t="s">
        <v>43</v>
      </c>
      <c r="C73" t="s">
        <v>88</v>
      </c>
      <c r="D73" t="s">
        <v>89</v>
      </c>
      <c r="E73" t="s">
        <v>146</v>
      </c>
      <c r="F73">
        <v>255</v>
      </c>
      <c r="I73" t="s">
        <v>147</v>
      </c>
      <c r="J73" t="s">
        <v>148</v>
      </c>
      <c r="K73" t="s">
        <v>149</v>
      </c>
      <c r="L73" t="s">
        <v>150</v>
      </c>
      <c r="M73" t="s">
        <v>59</v>
      </c>
      <c r="N73" t="str">
        <f t="shared" si="16"/>
        <v>{"name" : "UNIDADE_REQUERIDA",</v>
      </c>
      <c r="O73" t="str">
        <f t="shared" si="17"/>
        <v>"field" : "unidadeRequerida",</v>
      </c>
      <c r="P73" t="str">
        <f t="shared" si="18"/>
        <v>"type" : "VarChar",</v>
      </c>
      <c r="Q73" t="str">
        <f t="shared" si="19"/>
        <v>"size" : "255",</v>
      </c>
      <c r="R73" t="str">
        <f t="shared" si="20"/>
        <v>"null" : "true"},</v>
      </c>
      <c r="S73" t="str">
        <f t="shared" si="21"/>
        <v>{"name" : "UNIDADE_REQUERIDA","field" : "unidadeRequerida","type" : "VarChar","size" : "255","null" : "true"},</v>
      </c>
    </row>
    <row r="74" spans="1:19" x14ac:dyDescent="0.25">
      <c r="A74" s="6" t="s">
        <v>43</v>
      </c>
      <c r="B74" t="s">
        <v>43</v>
      </c>
      <c r="C74" t="s">
        <v>80</v>
      </c>
      <c r="D74" t="s">
        <v>81</v>
      </c>
      <c r="E74" t="s">
        <v>76</v>
      </c>
      <c r="F74">
        <v>10</v>
      </c>
      <c r="I74" t="s">
        <v>147</v>
      </c>
      <c r="J74" t="s">
        <v>148</v>
      </c>
      <c r="K74" t="s">
        <v>149</v>
      </c>
      <c r="L74" t="s">
        <v>150</v>
      </c>
      <c r="M74" t="s">
        <v>59</v>
      </c>
      <c r="N74" t="str">
        <f t="shared" si="16"/>
        <v>{"name" : "DATA_RETORNO_OBRIGATORIO",</v>
      </c>
      <c r="O74" t="str">
        <f t="shared" si="17"/>
        <v>"field" : "dataRetornoObrigatorio",</v>
      </c>
      <c r="P74" t="str">
        <f t="shared" si="18"/>
        <v>"type" : "Date",</v>
      </c>
      <c r="Q74" t="str">
        <f t="shared" si="19"/>
        <v>"size" : "10",</v>
      </c>
      <c r="R74" t="str">
        <f t="shared" si="20"/>
        <v>"null" : "true"},</v>
      </c>
      <c r="S74" t="str">
        <f t="shared" si="21"/>
        <v>{"name" : "DATA_RETORNO_OBRIGATORIO","field" : "dataRetornoObrigatorio","type" : "Date","size" : "10","null" : "true"},</v>
      </c>
    </row>
    <row r="75" spans="1:19" x14ac:dyDescent="0.25">
      <c r="A75" s="6" t="s">
        <v>43</v>
      </c>
      <c r="B75" t="s">
        <v>43</v>
      </c>
      <c r="C75" t="s">
        <v>98</v>
      </c>
      <c r="D75" t="s">
        <v>99</v>
      </c>
      <c r="E75" t="s">
        <v>146</v>
      </c>
      <c r="F75">
        <v>255</v>
      </c>
      <c r="I75" t="s">
        <v>147</v>
      </c>
      <c r="J75" t="s">
        <v>148</v>
      </c>
      <c r="K75" t="s">
        <v>149</v>
      </c>
      <c r="L75" t="s">
        <v>150</v>
      </c>
      <c r="M75" t="s">
        <v>59</v>
      </c>
      <c r="N75" t="str">
        <f t="shared" si="16"/>
        <v>{"name" : "TIPO_OFERTA",</v>
      </c>
      <c r="O75" t="str">
        <f t="shared" si="17"/>
        <v>"field" : "tipoOferta",</v>
      </c>
      <c r="P75" t="str">
        <f t="shared" si="18"/>
        <v>"type" : "VarChar",</v>
      </c>
      <c r="Q75" t="str">
        <f t="shared" si="19"/>
        <v>"size" : "255",</v>
      </c>
      <c r="R75" t="str">
        <f t="shared" si="20"/>
        <v>"null" : "true"},</v>
      </c>
      <c r="S75" t="str">
        <f t="shared" si="21"/>
        <v>{"name" : "TIPO_OFERTA","field" : "tipoOferta","type" : "VarChar","size" : "255","null" : "true"},</v>
      </c>
    </row>
    <row r="76" spans="1:19" x14ac:dyDescent="0.25">
      <c r="A76" s="6" t="s">
        <v>43</v>
      </c>
      <c r="B76" t="s">
        <v>43</v>
      </c>
      <c r="C76" t="s">
        <v>100</v>
      </c>
      <c r="D76" t="s">
        <v>101</v>
      </c>
      <c r="E76" t="s">
        <v>102</v>
      </c>
      <c r="F76">
        <v>1</v>
      </c>
      <c r="I76" t="s">
        <v>147</v>
      </c>
      <c r="J76" t="s">
        <v>148</v>
      </c>
      <c r="K76" t="s">
        <v>149</v>
      </c>
      <c r="L76" t="s">
        <v>150</v>
      </c>
      <c r="M76" t="s">
        <v>59</v>
      </c>
      <c r="N76" t="str">
        <f t="shared" si="16"/>
        <v>{"name" : "FLAG_REALIZACAO",</v>
      </c>
      <c r="O76" t="str">
        <f t="shared" si="17"/>
        <v>"field" : "flagRealizacao",</v>
      </c>
      <c r="P76" t="str">
        <f t="shared" si="18"/>
        <v>"type" : "bit",</v>
      </c>
      <c r="Q76" t="str">
        <f t="shared" si="19"/>
        <v>"size" : "1",</v>
      </c>
      <c r="R76" t="str">
        <f t="shared" si="20"/>
        <v>"null" : "true"},</v>
      </c>
      <c r="S76" t="str">
        <f t="shared" si="21"/>
        <v>{"name" : "FLAG_REALIZACAO","field" : "flagRealizacao","type" : "bit","size" : "1","null" : "true"},</v>
      </c>
    </row>
    <row r="77" spans="1:19" x14ac:dyDescent="0.25">
      <c r="A77" s="6" t="s">
        <v>43</v>
      </c>
      <c r="B77" t="s">
        <v>43</v>
      </c>
      <c r="C77" t="s">
        <v>103</v>
      </c>
      <c r="D77" t="s">
        <v>104</v>
      </c>
      <c r="E77" t="s">
        <v>102</v>
      </c>
      <c r="F77">
        <v>1</v>
      </c>
      <c r="I77" t="s">
        <v>147</v>
      </c>
      <c r="J77" t="s">
        <v>148</v>
      </c>
      <c r="K77" t="s">
        <v>149</v>
      </c>
      <c r="L77" t="s">
        <v>150</v>
      </c>
      <c r="M77" t="s">
        <v>59</v>
      </c>
      <c r="N77" t="str">
        <f t="shared" si="16"/>
        <v>{"name" : "FLAG_BAIXA_SISTEMA",</v>
      </c>
      <c r="O77" t="str">
        <f t="shared" si="17"/>
        <v>"field" : "flagBaixaSistema",</v>
      </c>
      <c r="P77" t="str">
        <f t="shared" si="18"/>
        <v>"type" : "bit",</v>
      </c>
      <c r="Q77" t="str">
        <f t="shared" si="19"/>
        <v>"size" : "1",</v>
      </c>
      <c r="R77" t="str">
        <f t="shared" si="20"/>
        <v>"null" : "true"},</v>
      </c>
      <c r="S77" t="str">
        <f t="shared" si="21"/>
        <v>{"name" : "FLAG_BAIXA_SISTEMA","field" : "flagBaixaSistema","type" : "bit","size" : "1","null" : "true"},</v>
      </c>
    </row>
    <row r="78" spans="1:19" x14ac:dyDescent="0.25">
      <c r="A78" s="6" t="s">
        <v>43</v>
      </c>
      <c r="B78" t="s">
        <v>43</v>
      </c>
      <c r="C78" t="s">
        <v>105</v>
      </c>
      <c r="D78" t="s">
        <v>106</v>
      </c>
      <c r="E78" t="s">
        <v>146</v>
      </c>
      <c r="F78">
        <v>255</v>
      </c>
      <c r="I78" t="s">
        <v>147</v>
      </c>
      <c r="J78" t="s">
        <v>148</v>
      </c>
      <c r="K78" t="s">
        <v>149</v>
      </c>
      <c r="L78" t="s">
        <v>150</v>
      </c>
      <c r="M78" t="s">
        <v>59</v>
      </c>
      <c r="N78" t="str">
        <f t="shared" si="16"/>
        <v>{"name" : "MOTIVO_AUSENCIA",</v>
      </c>
      <c r="O78" t="str">
        <f t="shared" si="17"/>
        <v>"field" : "motivoAusencia",</v>
      </c>
      <c r="P78" t="str">
        <f t="shared" si="18"/>
        <v>"type" : "VarChar",</v>
      </c>
      <c r="Q78" t="str">
        <f t="shared" si="19"/>
        <v>"size" : "255",</v>
      </c>
      <c r="R78" t="str">
        <f t="shared" si="20"/>
        <v>"null" : "true"},</v>
      </c>
      <c r="S78" t="str">
        <f t="shared" si="21"/>
        <v>{"name" : "MOTIVO_AUSENCIA","field" : "motivoAusencia","type" : "VarChar","size" : "255","null" : "true"},</v>
      </c>
    </row>
    <row r="79" spans="1:19" x14ac:dyDescent="0.25">
      <c r="A79" s="7"/>
    </row>
    <row r="80" spans="1:19" x14ac:dyDescent="0.25">
      <c r="A80" s="6" t="s">
        <v>34</v>
      </c>
    </row>
    <row r="81" spans="1:19" x14ac:dyDescent="0.25">
      <c r="A81" s="6" t="s">
        <v>43</v>
      </c>
      <c r="B81" t="s">
        <v>43</v>
      </c>
      <c r="C81" t="s">
        <v>44</v>
      </c>
      <c r="D81" t="s">
        <v>107</v>
      </c>
    </row>
    <row r="82" spans="1:19" x14ac:dyDescent="0.25">
      <c r="A82" s="6" t="s">
        <v>43</v>
      </c>
      <c r="B82" t="s">
        <v>43</v>
      </c>
      <c r="C82" t="s">
        <v>46</v>
      </c>
      <c r="D82" t="s">
        <v>47</v>
      </c>
    </row>
    <row r="83" spans="1:19" x14ac:dyDescent="0.25">
      <c r="A83" s="6" t="s">
        <v>43</v>
      </c>
      <c r="B83" t="s">
        <v>43</v>
      </c>
      <c r="C83" t="s">
        <v>48</v>
      </c>
      <c r="D83" t="s">
        <v>49</v>
      </c>
    </row>
    <row r="84" spans="1:19" x14ac:dyDescent="0.25">
      <c r="A84" s="6" t="s">
        <v>43</v>
      </c>
      <c r="B84" t="s">
        <v>43</v>
      </c>
      <c r="C84" t="s">
        <v>50</v>
      </c>
      <c r="D84" t="s">
        <v>51</v>
      </c>
    </row>
    <row r="85" spans="1:19" x14ac:dyDescent="0.25">
      <c r="A85" s="6" t="s">
        <v>43</v>
      </c>
      <c r="B85" t="s">
        <v>43</v>
      </c>
      <c r="C85" t="s">
        <v>52</v>
      </c>
      <c r="D85" t="s">
        <v>53</v>
      </c>
    </row>
    <row r="86" spans="1:19" x14ac:dyDescent="0.25">
      <c r="A86" s="6" t="s">
        <v>43</v>
      </c>
      <c r="B86" t="s">
        <v>43</v>
      </c>
      <c r="C86" t="s">
        <v>54</v>
      </c>
      <c r="D86" t="s">
        <v>55</v>
      </c>
    </row>
    <row r="87" spans="1:19" x14ac:dyDescent="0.25">
      <c r="A87" s="6" t="s">
        <v>43</v>
      </c>
      <c r="B87" t="s">
        <v>43</v>
      </c>
      <c r="C87" t="s">
        <v>56</v>
      </c>
      <c r="D87" t="s">
        <v>57</v>
      </c>
      <c r="E87" t="s">
        <v>146</v>
      </c>
      <c r="F87">
        <v>255</v>
      </c>
      <c r="G87" t="s">
        <v>95</v>
      </c>
      <c r="H87" t="s">
        <v>96</v>
      </c>
      <c r="I87" t="s">
        <v>147</v>
      </c>
      <c r="J87" t="s">
        <v>148</v>
      </c>
      <c r="K87" t="s">
        <v>149</v>
      </c>
      <c r="L87" t="s">
        <v>150</v>
      </c>
      <c r="M87" t="s">
        <v>59</v>
      </c>
      <c r="N87" t="str">
        <f t="shared" ref="N87:N107" si="22">"{"&amp;CHAR(34)&amp;I87&amp;CHAR(34)&amp;" : "&amp;CHAR(34)&amp;C87&amp;CHAR(34)&amp;","</f>
        <v>{"name" : "CENTRAL",</v>
      </c>
      <c r="O87" t="str">
        <f t="shared" ref="O87:O107" si="23">CHAR(34)&amp;J87&amp;CHAR(34)&amp;" : "&amp;CHAR(34)&amp;D87&amp;CHAR(34)&amp;","</f>
        <v>"field" : "central",</v>
      </c>
      <c r="P87" t="str">
        <f t="shared" ref="P87:P107" si="24">CHAR(34)&amp;K87&amp;CHAR(34)&amp;" : "&amp;CHAR(34)&amp;E87&amp;CHAR(34)&amp;","</f>
        <v>"type" : "VarChar",</v>
      </c>
      <c r="Q87" t="str">
        <f t="shared" ref="Q87:Q107" si="25">CHAR(34)&amp;L87&amp;CHAR(34)&amp;" : "&amp;CHAR(34)&amp;F87&amp;CHAR(34)&amp;","</f>
        <v>"size" : "255",</v>
      </c>
      <c r="R87" t="str">
        <f t="shared" ref="R87:R107" si="26">CHAR(34)&amp;M87&amp;CHAR(34)&amp;" : "&amp;CHAR(34)&amp;IF(G87="not","false","true")&amp;CHAR(34)&amp;"},"</f>
        <v>"null" : "false"},</v>
      </c>
      <c r="S87" t="str">
        <f t="shared" ref="S87:S107" si="27">N87&amp;O87&amp;P87&amp;Q87&amp;R87</f>
        <v>{"name" : "CENTRAL","field" : "central","type" : "VarChar","size" : "255","null" : "false"},</v>
      </c>
    </row>
    <row r="88" spans="1:19" x14ac:dyDescent="0.25">
      <c r="A88" s="6" t="s">
        <v>43</v>
      </c>
      <c r="B88" t="s">
        <v>43</v>
      </c>
      <c r="C88" t="s">
        <v>60</v>
      </c>
      <c r="D88" t="s">
        <v>61</v>
      </c>
      <c r="E88" t="s">
        <v>146</v>
      </c>
      <c r="F88">
        <v>255</v>
      </c>
      <c r="I88" t="s">
        <v>147</v>
      </c>
      <c r="J88" t="s">
        <v>148</v>
      </c>
      <c r="K88" t="s">
        <v>149</v>
      </c>
      <c r="L88" t="s">
        <v>150</v>
      </c>
      <c r="M88" t="s">
        <v>59</v>
      </c>
      <c r="N88" t="str">
        <f t="shared" si="22"/>
        <v>{"name" : "FICHA",</v>
      </c>
      <c r="O88" t="str">
        <f t="shared" si="23"/>
        <v>"field" : "ficha",</v>
      </c>
      <c r="P88" t="str">
        <f t="shared" si="24"/>
        <v>"type" : "VarChar",</v>
      </c>
      <c r="Q88" t="str">
        <f t="shared" si="25"/>
        <v>"size" : "255",</v>
      </c>
      <c r="R88" t="str">
        <f t="shared" si="26"/>
        <v>"null" : "true"},</v>
      </c>
      <c r="S88" t="str">
        <f t="shared" si="27"/>
        <v>{"name" : "FICHA","field" : "ficha","type" : "VarChar","size" : "255","null" : "true"},</v>
      </c>
    </row>
    <row r="89" spans="1:19" x14ac:dyDescent="0.25">
      <c r="A89" s="6" t="s">
        <v>43</v>
      </c>
      <c r="B89" t="s">
        <v>43</v>
      </c>
      <c r="C89" t="s">
        <v>62</v>
      </c>
      <c r="D89" t="s">
        <v>63</v>
      </c>
      <c r="E89" t="s">
        <v>76</v>
      </c>
      <c r="F89">
        <v>10</v>
      </c>
      <c r="I89" t="s">
        <v>147</v>
      </c>
      <c r="J89" t="s">
        <v>148</v>
      </c>
      <c r="K89" t="s">
        <v>149</v>
      </c>
      <c r="L89" t="s">
        <v>150</v>
      </c>
      <c r="M89" t="s">
        <v>59</v>
      </c>
      <c r="N89" t="str">
        <f t="shared" si="22"/>
        <v>{"name" : "SOLICITACAO",</v>
      </c>
      <c r="O89" t="str">
        <f t="shared" si="23"/>
        <v>"field" : "solicitacao",</v>
      </c>
      <c r="P89" t="str">
        <f t="shared" si="24"/>
        <v>"type" : "Date",</v>
      </c>
      <c r="Q89" t="str">
        <f t="shared" si="25"/>
        <v>"size" : "10",</v>
      </c>
      <c r="R89" t="str">
        <f t="shared" si="26"/>
        <v>"null" : "true"},</v>
      </c>
      <c r="S89" t="str">
        <f t="shared" si="27"/>
        <v>{"name" : "SOLICITACAO","field" : "solicitacao","type" : "Date","size" : "10","null" : "true"},</v>
      </c>
    </row>
    <row r="90" spans="1:19" x14ac:dyDescent="0.25">
      <c r="A90" s="6" t="s">
        <v>43</v>
      </c>
      <c r="B90" t="s">
        <v>43</v>
      </c>
      <c r="C90" t="s">
        <v>64</v>
      </c>
      <c r="D90" t="s">
        <v>65</v>
      </c>
      <c r="E90" t="s">
        <v>146</v>
      </c>
      <c r="F90">
        <v>255</v>
      </c>
      <c r="I90" t="s">
        <v>147</v>
      </c>
      <c r="J90" t="s">
        <v>148</v>
      </c>
      <c r="K90" t="s">
        <v>149</v>
      </c>
      <c r="L90" t="s">
        <v>150</v>
      </c>
      <c r="M90" t="s">
        <v>59</v>
      </c>
      <c r="N90" t="str">
        <f t="shared" si="22"/>
        <v>{"name" : "ESPECIALIDADE",</v>
      </c>
      <c r="O90" t="str">
        <f t="shared" si="23"/>
        <v>"field" : "especialidade",</v>
      </c>
      <c r="P90" t="str">
        <f t="shared" si="24"/>
        <v>"type" : "VarChar",</v>
      </c>
      <c r="Q90" t="str">
        <f t="shared" si="25"/>
        <v>"size" : "255",</v>
      </c>
      <c r="R90" t="str">
        <f t="shared" si="26"/>
        <v>"null" : "true"},</v>
      </c>
      <c r="S90" t="str">
        <f t="shared" si="27"/>
        <v>{"name" : "ESPECIALIDADE","field" : "especialidade","type" : "VarChar","size" : "255","null" : "true"},</v>
      </c>
    </row>
    <row r="91" spans="1:19" x14ac:dyDescent="0.25">
      <c r="A91" s="6" t="s">
        <v>43</v>
      </c>
      <c r="B91" t="s">
        <v>43</v>
      </c>
      <c r="C91" t="s">
        <v>66</v>
      </c>
      <c r="D91" t="s">
        <v>67</v>
      </c>
      <c r="E91" t="s">
        <v>146</v>
      </c>
      <c r="F91">
        <v>255</v>
      </c>
      <c r="I91" t="s">
        <v>147</v>
      </c>
      <c r="J91" t="s">
        <v>148</v>
      </c>
      <c r="K91" t="s">
        <v>149</v>
      </c>
      <c r="L91" t="s">
        <v>150</v>
      </c>
      <c r="M91" t="s">
        <v>59</v>
      </c>
      <c r="N91" t="str">
        <f t="shared" si="22"/>
        <v>{"name" : "ORIGEM",</v>
      </c>
      <c r="O91" t="str">
        <f t="shared" si="23"/>
        <v>"field" : "origem",</v>
      </c>
      <c r="P91" t="str">
        <f t="shared" si="24"/>
        <v>"type" : "VarChar",</v>
      </c>
      <c r="Q91" t="str">
        <f t="shared" si="25"/>
        <v>"size" : "255",</v>
      </c>
      <c r="R91" t="str">
        <f t="shared" si="26"/>
        <v>"null" : "true"},</v>
      </c>
      <c r="S91" t="str">
        <f t="shared" si="27"/>
        <v>{"name" : "ORIGEM","field" : "origem","type" : "VarChar","size" : "255","null" : "true"},</v>
      </c>
    </row>
    <row r="92" spans="1:19" x14ac:dyDescent="0.25">
      <c r="A92" s="6" t="s">
        <v>43</v>
      </c>
      <c r="B92" t="s">
        <v>43</v>
      </c>
      <c r="C92" t="s">
        <v>68</v>
      </c>
      <c r="D92" t="s">
        <v>69</v>
      </c>
      <c r="E92" t="s">
        <v>146</v>
      </c>
      <c r="F92">
        <v>255</v>
      </c>
      <c r="I92" t="s">
        <v>147</v>
      </c>
      <c r="J92" t="s">
        <v>148</v>
      </c>
      <c r="K92" t="s">
        <v>149</v>
      </c>
      <c r="L92" t="s">
        <v>150</v>
      </c>
      <c r="M92" t="s">
        <v>59</v>
      </c>
      <c r="N92" t="str">
        <f t="shared" si="22"/>
        <v>{"name" : "SOLICITANTE",</v>
      </c>
      <c r="O92" t="str">
        <f t="shared" si="23"/>
        <v>"field" : "solicitante",</v>
      </c>
      <c r="P92" t="str">
        <f t="shared" si="24"/>
        <v>"type" : "VarChar",</v>
      </c>
      <c r="Q92" t="str">
        <f t="shared" si="25"/>
        <v>"size" : "255",</v>
      </c>
      <c r="R92" t="str">
        <f t="shared" si="26"/>
        <v>"null" : "true"},</v>
      </c>
      <c r="S92" t="str">
        <f t="shared" si="27"/>
        <v>{"name" : "SOLICITANTE","field" : "solicitante","type" : "VarChar","size" : "255","null" : "true"},</v>
      </c>
    </row>
    <row r="93" spans="1:19" x14ac:dyDescent="0.25">
      <c r="A93" s="6" t="s">
        <v>43</v>
      </c>
      <c r="B93" t="s">
        <v>43</v>
      </c>
      <c r="C93" t="s">
        <v>70</v>
      </c>
      <c r="D93" t="s">
        <v>71</v>
      </c>
      <c r="E93" t="s">
        <v>146</v>
      </c>
      <c r="F93">
        <v>255</v>
      </c>
      <c r="I93" t="s">
        <v>147</v>
      </c>
      <c r="J93" t="s">
        <v>148</v>
      </c>
      <c r="K93" t="s">
        <v>149</v>
      </c>
      <c r="L93" t="s">
        <v>150</v>
      </c>
      <c r="M93" t="s">
        <v>59</v>
      </c>
      <c r="N93" t="str">
        <f t="shared" si="22"/>
        <v>{"name" : "EXECUTANTE",</v>
      </c>
      <c r="O93" t="str">
        <f t="shared" si="23"/>
        <v>"field" : "executante",</v>
      </c>
      <c r="P93" t="str">
        <f t="shared" si="24"/>
        <v>"type" : "VarChar",</v>
      </c>
      <c r="Q93" t="str">
        <f t="shared" si="25"/>
        <v>"size" : "255",</v>
      </c>
      <c r="R93" t="str">
        <f t="shared" si="26"/>
        <v>"null" : "true"},</v>
      </c>
      <c r="S93" t="str">
        <f t="shared" si="27"/>
        <v>{"name" : "EXECUTANTE","field" : "executante","type" : "VarChar","size" : "255","null" : "true"},</v>
      </c>
    </row>
    <row r="94" spans="1:19" x14ac:dyDescent="0.25">
      <c r="A94" s="6" t="s">
        <v>43</v>
      </c>
      <c r="B94" t="s">
        <v>43</v>
      </c>
      <c r="C94" t="s">
        <v>72</v>
      </c>
      <c r="D94" t="s">
        <v>73</v>
      </c>
      <c r="E94" t="s">
        <v>146</v>
      </c>
      <c r="F94">
        <v>255</v>
      </c>
      <c r="I94" t="s">
        <v>147</v>
      </c>
      <c r="J94" t="s">
        <v>148</v>
      </c>
      <c r="K94" t="s">
        <v>149</v>
      </c>
      <c r="L94" t="s">
        <v>150</v>
      </c>
      <c r="M94" t="s">
        <v>59</v>
      </c>
      <c r="N94" t="str">
        <f t="shared" si="22"/>
        <v>{"name" : "MEDICO",</v>
      </c>
      <c r="O94" t="str">
        <f t="shared" si="23"/>
        <v>"field" : "medico",</v>
      </c>
      <c r="P94" t="str">
        <f t="shared" si="24"/>
        <v>"type" : "VarChar",</v>
      </c>
      <c r="Q94" t="str">
        <f t="shared" si="25"/>
        <v>"size" : "255",</v>
      </c>
      <c r="R94" t="str">
        <f t="shared" si="26"/>
        <v>"null" : "true"},</v>
      </c>
      <c r="S94" t="str">
        <f t="shared" si="27"/>
        <v>{"name" : "MEDICO","field" : "medico","type" : "VarChar","size" : "255","null" : "true"},</v>
      </c>
    </row>
    <row r="95" spans="1:19" x14ac:dyDescent="0.25">
      <c r="A95" s="6" t="s">
        <v>43</v>
      </c>
      <c r="B95" t="s">
        <v>43</v>
      </c>
      <c r="C95" t="s">
        <v>74</v>
      </c>
      <c r="D95" t="s">
        <v>75</v>
      </c>
      <c r="E95" t="s">
        <v>76</v>
      </c>
      <c r="F95">
        <v>10</v>
      </c>
      <c r="I95" t="s">
        <v>147</v>
      </c>
      <c r="J95" t="s">
        <v>148</v>
      </c>
      <c r="K95" t="s">
        <v>149</v>
      </c>
      <c r="L95" t="s">
        <v>150</v>
      </c>
      <c r="M95" t="s">
        <v>59</v>
      </c>
      <c r="N95" t="str">
        <f t="shared" si="22"/>
        <v>{"name" : "DATA_AGENDA",</v>
      </c>
      <c r="O95" t="str">
        <f t="shared" si="23"/>
        <v>"field" : "dataAgenda",</v>
      </c>
      <c r="P95" t="str">
        <f t="shared" si="24"/>
        <v>"type" : "Date",</v>
      </c>
      <c r="Q95" t="str">
        <f t="shared" si="25"/>
        <v>"size" : "10",</v>
      </c>
      <c r="R95" t="str">
        <f t="shared" si="26"/>
        <v>"null" : "true"},</v>
      </c>
      <c r="S95" t="str">
        <f t="shared" si="27"/>
        <v>{"name" : "DATA_AGENDA","field" : "dataAgenda","type" : "Date","size" : "10","null" : "true"},</v>
      </c>
    </row>
    <row r="96" spans="1:19" x14ac:dyDescent="0.25">
      <c r="A96" s="6" t="s">
        <v>43</v>
      </c>
      <c r="B96" t="s">
        <v>43</v>
      </c>
      <c r="C96" t="s">
        <v>77</v>
      </c>
      <c r="D96" t="s">
        <v>78</v>
      </c>
      <c r="E96" t="s">
        <v>79</v>
      </c>
      <c r="F96">
        <v>5</v>
      </c>
      <c r="I96" t="s">
        <v>147</v>
      </c>
      <c r="J96" t="s">
        <v>148</v>
      </c>
      <c r="K96" t="s">
        <v>149</v>
      </c>
      <c r="L96" t="s">
        <v>150</v>
      </c>
      <c r="M96" t="s">
        <v>59</v>
      </c>
      <c r="N96" t="str">
        <f t="shared" si="22"/>
        <v>{"name" : "HORA_AGENDA",</v>
      </c>
      <c r="O96" t="str">
        <f t="shared" si="23"/>
        <v>"field" : "horaAgenda",</v>
      </c>
      <c r="P96" t="str">
        <f t="shared" si="24"/>
        <v>"type" : "Time",</v>
      </c>
      <c r="Q96" t="str">
        <f t="shared" si="25"/>
        <v>"size" : "5",</v>
      </c>
      <c r="R96" t="str">
        <f t="shared" si="26"/>
        <v>"null" : "true"},</v>
      </c>
      <c r="S96" t="str">
        <f t="shared" si="27"/>
        <v>{"name" : "HORA_AGENDA","field" : "horaAgenda","type" : "Time","size" : "5","null" : "true"},</v>
      </c>
    </row>
    <row r="97" spans="1:19" x14ac:dyDescent="0.25">
      <c r="A97" s="6" t="s">
        <v>43</v>
      </c>
      <c r="B97" t="s">
        <v>43</v>
      </c>
      <c r="C97" t="s">
        <v>82</v>
      </c>
      <c r="D97" t="s">
        <v>83</v>
      </c>
      <c r="E97" t="s">
        <v>146</v>
      </c>
      <c r="F97">
        <v>255</v>
      </c>
      <c r="I97" t="s">
        <v>147</v>
      </c>
      <c r="J97" t="s">
        <v>148</v>
      </c>
      <c r="K97" t="s">
        <v>149</v>
      </c>
      <c r="L97" t="s">
        <v>150</v>
      </c>
      <c r="M97" t="s">
        <v>59</v>
      </c>
      <c r="N97" t="str">
        <f t="shared" si="22"/>
        <v>{"name" : "TIPO_BUSCA",</v>
      </c>
      <c r="O97" t="str">
        <f t="shared" si="23"/>
        <v>"field" : "tipoBusca",</v>
      </c>
      <c r="P97" t="str">
        <f t="shared" si="24"/>
        <v>"type" : "VarChar",</v>
      </c>
      <c r="Q97" t="str">
        <f t="shared" si="25"/>
        <v>"size" : "255",</v>
      </c>
      <c r="R97" t="str">
        <f t="shared" si="26"/>
        <v>"null" : "true"},</v>
      </c>
      <c r="S97" t="str">
        <f t="shared" si="27"/>
        <v>{"name" : "TIPO_BUSCA","field" : "tipoBusca","type" : "VarChar","size" : "255","null" : "true"},</v>
      </c>
    </row>
    <row r="98" spans="1:19" x14ac:dyDescent="0.25">
      <c r="A98" s="6" t="s">
        <v>43</v>
      </c>
      <c r="B98" t="s">
        <v>43</v>
      </c>
      <c r="C98" t="s">
        <v>84</v>
      </c>
      <c r="D98" t="s">
        <v>85</v>
      </c>
      <c r="E98" t="s">
        <v>146</v>
      </c>
      <c r="F98">
        <v>255</v>
      </c>
      <c r="I98" t="s">
        <v>147</v>
      </c>
      <c r="J98" t="s">
        <v>148</v>
      </c>
      <c r="K98" t="s">
        <v>149</v>
      </c>
      <c r="L98" t="s">
        <v>150</v>
      </c>
      <c r="M98" t="s">
        <v>59</v>
      </c>
      <c r="N98" t="str">
        <f t="shared" si="22"/>
        <v>{"name" : "SITUACAO_ATUAL",</v>
      </c>
      <c r="O98" t="str">
        <f t="shared" si="23"/>
        <v>"field" : "situacaoAtual",</v>
      </c>
      <c r="P98" t="str">
        <f t="shared" si="24"/>
        <v>"type" : "VarChar",</v>
      </c>
      <c r="Q98" t="str">
        <f t="shared" si="25"/>
        <v>"size" : "255",</v>
      </c>
      <c r="R98" t="str">
        <f t="shared" si="26"/>
        <v>"null" : "true"},</v>
      </c>
      <c r="S98" t="str">
        <f t="shared" si="27"/>
        <v>{"name" : "SITUACAO_ATUAL","field" : "situacaoAtual","type" : "VarChar","size" : "255","null" : "true"},</v>
      </c>
    </row>
    <row r="99" spans="1:19" x14ac:dyDescent="0.25">
      <c r="A99" s="6" t="s">
        <v>43</v>
      </c>
      <c r="B99" t="s">
        <v>43</v>
      </c>
      <c r="C99" t="s">
        <v>90</v>
      </c>
      <c r="D99" t="s">
        <v>91</v>
      </c>
      <c r="E99" t="s">
        <v>146</v>
      </c>
      <c r="F99">
        <v>255</v>
      </c>
      <c r="I99" t="s">
        <v>147</v>
      </c>
      <c r="J99" t="s">
        <v>148</v>
      </c>
      <c r="K99" t="s">
        <v>149</v>
      </c>
      <c r="L99" t="s">
        <v>150</v>
      </c>
      <c r="M99" t="s">
        <v>59</v>
      </c>
      <c r="N99" t="str">
        <f t="shared" si="22"/>
        <v>{"name" : "TIPO_MARCACAO",</v>
      </c>
      <c r="O99" t="str">
        <f t="shared" si="23"/>
        <v>"field" : "tipoMarcacao",</v>
      </c>
      <c r="P99" t="str">
        <f t="shared" si="24"/>
        <v>"type" : "VarChar",</v>
      </c>
      <c r="Q99" t="str">
        <f t="shared" si="25"/>
        <v>"size" : "255",</v>
      </c>
      <c r="R99" t="str">
        <f t="shared" si="26"/>
        <v>"null" : "true"},</v>
      </c>
      <c r="S99" t="str">
        <f t="shared" si="27"/>
        <v>{"name" : "TIPO_MARCACAO","field" : "tipoMarcacao","type" : "VarChar","size" : "255","null" : "true"},</v>
      </c>
    </row>
    <row r="100" spans="1:19" x14ac:dyDescent="0.25">
      <c r="A100" s="6" t="s">
        <v>43</v>
      </c>
      <c r="B100" t="s">
        <v>43</v>
      </c>
      <c r="C100" t="s">
        <v>92</v>
      </c>
      <c r="D100" t="s">
        <v>93</v>
      </c>
      <c r="E100" t="s">
        <v>146</v>
      </c>
      <c r="F100">
        <v>255</v>
      </c>
      <c r="I100" t="s">
        <v>147</v>
      </c>
      <c r="J100" t="s">
        <v>148</v>
      </c>
      <c r="K100" t="s">
        <v>149</v>
      </c>
      <c r="L100" t="s">
        <v>150</v>
      </c>
      <c r="M100" t="s">
        <v>59</v>
      </c>
      <c r="N100" t="str">
        <f t="shared" si="22"/>
        <v>{"name" : "PROCEDENCIA_PACIENTE",</v>
      </c>
      <c r="O100" t="str">
        <f t="shared" si="23"/>
        <v>"field" : "procedencia",</v>
      </c>
      <c r="P100" t="str">
        <f t="shared" si="24"/>
        <v>"type" : "VarChar",</v>
      </c>
      <c r="Q100" t="str">
        <f t="shared" si="25"/>
        <v>"size" : "255",</v>
      </c>
      <c r="R100" t="str">
        <f t="shared" si="26"/>
        <v>"null" : "true"},</v>
      </c>
      <c r="S100" t="str">
        <f t="shared" si="27"/>
        <v>{"name" : "PROCEDENCIA_PACIENTE","field" : "procedencia","type" : "VarChar","size" : "255","null" : "true"},</v>
      </c>
    </row>
    <row r="101" spans="1:19" x14ac:dyDescent="0.25">
      <c r="A101" s="6" t="s">
        <v>43</v>
      </c>
      <c r="B101" t="s">
        <v>43</v>
      </c>
      <c r="C101" t="s">
        <v>86</v>
      </c>
      <c r="D101" t="s">
        <v>87</v>
      </c>
      <c r="E101" t="s">
        <v>146</v>
      </c>
      <c r="F101">
        <v>255</v>
      </c>
      <c r="I101" t="s">
        <v>147</v>
      </c>
      <c r="J101" t="s">
        <v>148</v>
      </c>
      <c r="K101" t="s">
        <v>149</v>
      </c>
      <c r="L101" t="s">
        <v>150</v>
      </c>
      <c r="M101" t="s">
        <v>59</v>
      </c>
      <c r="N101" t="str">
        <f t="shared" si="22"/>
        <v>{"name" : "MEDICO_REQUERIDO",</v>
      </c>
      <c r="O101" t="str">
        <f t="shared" si="23"/>
        <v>"field" : "medicoRequerido",</v>
      </c>
      <c r="P101" t="str">
        <f t="shared" si="24"/>
        <v>"type" : "VarChar",</v>
      </c>
      <c r="Q101" t="str">
        <f t="shared" si="25"/>
        <v>"size" : "255",</v>
      </c>
      <c r="R101" t="str">
        <f t="shared" si="26"/>
        <v>"null" : "true"},</v>
      </c>
      <c r="S101" t="str">
        <f t="shared" si="27"/>
        <v>{"name" : "MEDICO_REQUERIDO","field" : "medicoRequerido","type" : "VarChar","size" : "255","null" : "true"},</v>
      </c>
    </row>
    <row r="102" spans="1:19" x14ac:dyDescent="0.25">
      <c r="A102" s="6" t="s">
        <v>43</v>
      </c>
      <c r="B102" t="s">
        <v>43</v>
      </c>
      <c r="C102" t="s">
        <v>88</v>
      </c>
      <c r="D102" t="s">
        <v>89</v>
      </c>
      <c r="E102" t="s">
        <v>146</v>
      </c>
      <c r="F102">
        <v>255</v>
      </c>
      <c r="I102" t="s">
        <v>147</v>
      </c>
      <c r="J102" t="s">
        <v>148</v>
      </c>
      <c r="K102" t="s">
        <v>149</v>
      </c>
      <c r="L102" t="s">
        <v>150</v>
      </c>
      <c r="M102" t="s">
        <v>59</v>
      </c>
      <c r="N102" t="str">
        <f t="shared" si="22"/>
        <v>{"name" : "UNIDADE_REQUERIDA",</v>
      </c>
      <c r="O102" t="str">
        <f t="shared" si="23"/>
        <v>"field" : "unidadeRequerida",</v>
      </c>
      <c r="P102" t="str">
        <f t="shared" si="24"/>
        <v>"type" : "VarChar",</v>
      </c>
      <c r="Q102" t="str">
        <f t="shared" si="25"/>
        <v>"size" : "255",</v>
      </c>
      <c r="R102" t="str">
        <f t="shared" si="26"/>
        <v>"null" : "true"},</v>
      </c>
      <c r="S102" t="str">
        <f t="shared" si="27"/>
        <v>{"name" : "UNIDADE_REQUERIDA","field" : "unidadeRequerida","type" : "VarChar","size" : "255","null" : "true"},</v>
      </c>
    </row>
    <row r="103" spans="1:19" x14ac:dyDescent="0.25">
      <c r="A103" s="6" t="s">
        <v>43</v>
      </c>
      <c r="B103" t="s">
        <v>43</v>
      </c>
      <c r="C103" t="s">
        <v>80</v>
      </c>
      <c r="D103" t="s">
        <v>81</v>
      </c>
      <c r="E103" t="s">
        <v>76</v>
      </c>
      <c r="F103">
        <v>10</v>
      </c>
      <c r="I103" t="s">
        <v>147</v>
      </c>
      <c r="J103" t="s">
        <v>148</v>
      </c>
      <c r="K103" t="s">
        <v>149</v>
      </c>
      <c r="L103" t="s">
        <v>150</v>
      </c>
      <c r="M103" t="s">
        <v>59</v>
      </c>
      <c r="N103" t="str">
        <f t="shared" si="22"/>
        <v>{"name" : "DATA_RETORNO_OBRIGATORIO",</v>
      </c>
      <c r="O103" t="str">
        <f t="shared" si="23"/>
        <v>"field" : "dataRetornoObrigatorio",</v>
      </c>
      <c r="P103" t="str">
        <f t="shared" si="24"/>
        <v>"type" : "Date",</v>
      </c>
      <c r="Q103" t="str">
        <f t="shared" si="25"/>
        <v>"size" : "10",</v>
      </c>
      <c r="R103" t="str">
        <f t="shared" si="26"/>
        <v>"null" : "true"},</v>
      </c>
      <c r="S103" t="str">
        <f t="shared" si="27"/>
        <v>{"name" : "DATA_RETORNO_OBRIGATORIO","field" : "dataRetornoObrigatorio","type" : "Date","size" : "10","null" : "true"},</v>
      </c>
    </row>
    <row r="104" spans="1:19" x14ac:dyDescent="0.25">
      <c r="A104" s="6" t="s">
        <v>43</v>
      </c>
      <c r="B104" t="s">
        <v>43</v>
      </c>
      <c r="C104" t="s">
        <v>98</v>
      </c>
      <c r="D104" t="s">
        <v>99</v>
      </c>
      <c r="E104" t="s">
        <v>146</v>
      </c>
      <c r="F104">
        <v>255</v>
      </c>
      <c r="I104" t="s">
        <v>147</v>
      </c>
      <c r="J104" t="s">
        <v>148</v>
      </c>
      <c r="K104" t="s">
        <v>149</v>
      </c>
      <c r="L104" t="s">
        <v>150</v>
      </c>
      <c r="M104" t="s">
        <v>59</v>
      </c>
      <c r="N104" t="str">
        <f t="shared" si="22"/>
        <v>{"name" : "TIPO_OFERTA",</v>
      </c>
      <c r="O104" t="str">
        <f t="shared" si="23"/>
        <v>"field" : "tipoOferta",</v>
      </c>
      <c r="P104" t="str">
        <f t="shared" si="24"/>
        <v>"type" : "VarChar",</v>
      </c>
      <c r="Q104" t="str">
        <f t="shared" si="25"/>
        <v>"size" : "255",</v>
      </c>
      <c r="R104" t="str">
        <f t="shared" si="26"/>
        <v>"null" : "true"},</v>
      </c>
      <c r="S104" t="str">
        <f t="shared" si="27"/>
        <v>{"name" : "TIPO_OFERTA","field" : "tipoOferta","type" : "VarChar","size" : "255","null" : "true"},</v>
      </c>
    </row>
    <row r="105" spans="1:19" x14ac:dyDescent="0.25">
      <c r="A105" s="6" t="s">
        <v>43</v>
      </c>
      <c r="B105" t="s">
        <v>43</v>
      </c>
      <c r="C105" t="s">
        <v>100</v>
      </c>
      <c r="D105" t="s">
        <v>101</v>
      </c>
      <c r="E105" t="s">
        <v>102</v>
      </c>
      <c r="F105">
        <v>1</v>
      </c>
      <c r="I105" t="s">
        <v>147</v>
      </c>
      <c r="J105" t="s">
        <v>148</v>
      </c>
      <c r="K105" t="s">
        <v>149</v>
      </c>
      <c r="L105" t="s">
        <v>150</v>
      </c>
      <c r="M105" t="s">
        <v>59</v>
      </c>
      <c r="N105" t="str">
        <f t="shared" si="22"/>
        <v>{"name" : "FLAG_REALIZACAO",</v>
      </c>
      <c r="O105" t="str">
        <f t="shared" si="23"/>
        <v>"field" : "flagRealizacao",</v>
      </c>
      <c r="P105" t="str">
        <f t="shared" si="24"/>
        <v>"type" : "bit",</v>
      </c>
      <c r="Q105" t="str">
        <f t="shared" si="25"/>
        <v>"size" : "1",</v>
      </c>
      <c r="R105" t="str">
        <f t="shared" si="26"/>
        <v>"null" : "true"},</v>
      </c>
      <c r="S105" t="str">
        <f t="shared" si="27"/>
        <v>{"name" : "FLAG_REALIZACAO","field" : "flagRealizacao","type" : "bit","size" : "1","null" : "true"},</v>
      </c>
    </row>
    <row r="106" spans="1:19" x14ac:dyDescent="0.25">
      <c r="A106" s="6" t="s">
        <v>43</v>
      </c>
      <c r="B106" t="s">
        <v>43</v>
      </c>
      <c r="C106" t="s">
        <v>103</v>
      </c>
      <c r="D106" t="s">
        <v>104</v>
      </c>
      <c r="E106" t="s">
        <v>102</v>
      </c>
      <c r="F106">
        <v>1</v>
      </c>
      <c r="I106" t="s">
        <v>147</v>
      </c>
      <c r="J106" t="s">
        <v>148</v>
      </c>
      <c r="K106" t="s">
        <v>149</v>
      </c>
      <c r="L106" t="s">
        <v>150</v>
      </c>
      <c r="M106" t="s">
        <v>59</v>
      </c>
      <c r="N106" t="str">
        <f t="shared" si="22"/>
        <v>{"name" : "FLAG_BAIXA_SISTEMA",</v>
      </c>
      <c r="O106" t="str">
        <f t="shared" si="23"/>
        <v>"field" : "flagBaixaSistema",</v>
      </c>
      <c r="P106" t="str">
        <f t="shared" si="24"/>
        <v>"type" : "bit",</v>
      </c>
      <c r="Q106" t="str">
        <f t="shared" si="25"/>
        <v>"size" : "1",</v>
      </c>
      <c r="R106" t="str">
        <f t="shared" si="26"/>
        <v>"null" : "true"},</v>
      </c>
      <c r="S106" t="str">
        <f t="shared" si="27"/>
        <v>{"name" : "FLAG_BAIXA_SISTEMA","field" : "flagBaixaSistema","type" : "bit","size" : "1","null" : "true"},</v>
      </c>
    </row>
    <row r="107" spans="1:19" x14ac:dyDescent="0.25">
      <c r="A107" s="6" t="s">
        <v>43</v>
      </c>
      <c r="B107" t="s">
        <v>43</v>
      </c>
      <c r="C107" t="s">
        <v>105</v>
      </c>
      <c r="D107" t="s">
        <v>106</v>
      </c>
      <c r="E107" t="s">
        <v>146</v>
      </c>
      <c r="F107">
        <v>255</v>
      </c>
      <c r="I107" t="s">
        <v>147</v>
      </c>
      <c r="J107" t="s">
        <v>148</v>
      </c>
      <c r="K107" t="s">
        <v>149</v>
      </c>
      <c r="L107" t="s">
        <v>150</v>
      </c>
      <c r="M107" t="s">
        <v>59</v>
      </c>
      <c r="N107" t="str">
        <f t="shared" si="22"/>
        <v>{"name" : "MOTIVO_AUSENCIA",</v>
      </c>
      <c r="O107" t="str">
        <f t="shared" si="23"/>
        <v>"field" : "motivoAusencia",</v>
      </c>
      <c r="P107" t="str">
        <f t="shared" si="24"/>
        <v>"type" : "VarChar",</v>
      </c>
      <c r="Q107" t="str">
        <f t="shared" si="25"/>
        <v>"size" : "255",</v>
      </c>
      <c r="R107" t="str">
        <f t="shared" si="26"/>
        <v>"null" : "true"},</v>
      </c>
      <c r="S107" t="str">
        <f t="shared" si="27"/>
        <v>{"name" : "MOTIVO_AUSENCIA","field" : "motivoAusencia","type" : "VarChar","size" : "255","null" : "true"},</v>
      </c>
    </row>
    <row r="108" spans="1:19" x14ac:dyDescent="0.25">
      <c r="A108" s="7"/>
    </row>
    <row r="109" spans="1:19" x14ac:dyDescent="0.25">
      <c r="A109" s="6" t="s">
        <v>35</v>
      </c>
    </row>
    <row r="110" spans="1:19" x14ac:dyDescent="0.25">
      <c r="A110" s="6" t="s">
        <v>43</v>
      </c>
      <c r="B110" t="s">
        <v>43</v>
      </c>
      <c r="C110" t="s">
        <v>44</v>
      </c>
      <c r="D110" t="s">
        <v>108</v>
      </c>
    </row>
    <row r="111" spans="1:19" x14ac:dyDescent="0.25">
      <c r="A111" s="6" t="s">
        <v>43</v>
      </c>
      <c r="B111" t="s">
        <v>43</v>
      </c>
      <c r="C111" t="s">
        <v>46</v>
      </c>
      <c r="D111" t="s">
        <v>47</v>
      </c>
    </row>
    <row r="112" spans="1:19" x14ac:dyDescent="0.25">
      <c r="A112" s="6" t="s">
        <v>43</v>
      </c>
      <c r="B112" t="s">
        <v>43</v>
      </c>
      <c r="C112" t="s">
        <v>48</v>
      </c>
      <c r="D112" t="s">
        <v>49</v>
      </c>
    </row>
    <row r="113" spans="1:19" x14ac:dyDescent="0.25">
      <c r="A113" s="6" t="s">
        <v>43</v>
      </c>
      <c r="B113" t="s">
        <v>43</v>
      </c>
      <c r="C113" t="s">
        <v>50</v>
      </c>
      <c r="D113" t="s">
        <v>51</v>
      </c>
    </row>
    <row r="114" spans="1:19" x14ac:dyDescent="0.25">
      <c r="A114" s="6" t="s">
        <v>43</v>
      </c>
      <c r="B114" t="s">
        <v>43</v>
      </c>
      <c r="C114" t="s">
        <v>52</v>
      </c>
      <c r="D114" t="s">
        <v>53</v>
      </c>
    </row>
    <row r="115" spans="1:19" x14ac:dyDescent="0.25">
      <c r="A115" s="6" t="s">
        <v>43</v>
      </c>
      <c r="B115" t="s">
        <v>43</v>
      </c>
      <c r="C115" t="s">
        <v>54</v>
      </c>
      <c r="D115" t="s">
        <v>55</v>
      </c>
    </row>
    <row r="116" spans="1:19" x14ac:dyDescent="0.25">
      <c r="A116" s="6" t="s">
        <v>43</v>
      </c>
      <c r="B116" t="s">
        <v>43</v>
      </c>
      <c r="C116" t="s">
        <v>56</v>
      </c>
      <c r="D116" t="s">
        <v>57</v>
      </c>
      <c r="E116" t="s">
        <v>146</v>
      </c>
      <c r="F116">
        <v>255</v>
      </c>
      <c r="G116" t="s">
        <v>95</v>
      </c>
      <c r="H116" t="s">
        <v>96</v>
      </c>
      <c r="I116" t="s">
        <v>147</v>
      </c>
      <c r="J116" t="s">
        <v>148</v>
      </c>
      <c r="K116" t="s">
        <v>149</v>
      </c>
      <c r="L116" t="s">
        <v>150</v>
      </c>
      <c r="M116" t="s">
        <v>59</v>
      </c>
      <c r="N116" t="str">
        <f t="shared" ref="N116:N127" si="28">"{"&amp;CHAR(34)&amp;I116&amp;CHAR(34)&amp;" : "&amp;CHAR(34)&amp;C116&amp;CHAR(34)&amp;","</f>
        <v>{"name" : "CENTRAL",</v>
      </c>
      <c r="O116" t="str">
        <f t="shared" ref="O116:O127" si="29">CHAR(34)&amp;J116&amp;CHAR(34)&amp;" : "&amp;CHAR(34)&amp;D116&amp;CHAR(34)&amp;","</f>
        <v>"field" : "central",</v>
      </c>
      <c r="P116" t="str">
        <f t="shared" ref="P116:P127" si="30">CHAR(34)&amp;K116&amp;CHAR(34)&amp;" : "&amp;CHAR(34)&amp;E116&amp;CHAR(34)&amp;","</f>
        <v>"type" : "VarChar",</v>
      </c>
      <c r="Q116" t="str">
        <f t="shared" ref="Q116:Q127" si="31">CHAR(34)&amp;L116&amp;CHAR(34)&amp;" : "&amp;CHAR(34)&amp;F116&amp;CHAR(34)&amp;","</f>
        <v>"size" : "255",</v>
      </c>
      <c r="R116" t="str">
        <f t="shared" ref="R116:R127" si="32">CHAR(34)&amp;M116&amp;CHAR(34)&amp;" : "&amp;CHAR(34)&amp;IF(G116="not","false","true")&amp;CHAR(34)&amp;"},"</f>
        <v>"null" : "false"},</v>
      </c>
      <c r="S116" t="str">
        <f t="shared" ref="S116:S127" si="33">N116&amp;O116&amp;P116&amp;Q116&amp;R116</f>
        <v>{"name" : "CENTRAL","field" : "central","type" : "VarChar","size" : "255","null" : "false"},</v>
      </c>
    </row>
    <row r="117" spans="1:19" x14ac:dyDescent="0.25">
      <c r="A117" s="6" t="s">
        <v>43</v>
      </c>
      <c r="B117" t="s">
        <v>43</v>
      </c>
      <c r="C117" t="s">
        <v>68</v>
      </c>
      <c r="D117" t="s">
        <v>69</v>
      </c>
      <c r="E117" t="s">
        <v>146</v>
      </c>
      <c r="F117">
        <v>255</v>
      </c>
      <c r="I117" t="s">
        <v>147</v>
      </c>
      <c r="J117" t="s">
        <v>148</v>
      </c>
      <c r="K117" t="s">
        <v>149</v>
      </c>
      <c r="L117" t="s">
        <v>150</v>
      </c>
      <c r="M117" t="s">
        <v>59</v>
      </c>
      <c r="N117" t="str">
        <f t="shared" si="28"/>
        <v>{"name" : "SOLICITANTE",</v>
      </c>
      <c r="O117" t="str">
        <f t="shared" si="29"/>
        <v>"field" : "solicitante",</v>
      </c>
      <c r="P117" t="str">
        <f t="shared" si="30"/>
        <v>"type" : "VarChar",</v>
      </c>
      <c r="Q117" t="str">
        <f t="shared" si="31"/>
        <v>"size" : "255",</v>
      </c>
      <c r="R117" t="str">
        <f t="shared" si="32"/>
        <v>"null" : "true"},</v>
      </c>
      <c r="S117" t="str">
        <f t="shared" si="33"/>
        <v>{"name" : "SOLICITANTE","field" : "solicitante","type" : "VarChar","size" : "255","null" : "true"},</v>
      </c>
    </row>
    <row r="118" spans="1:19" x14ac:dyDescent="0.25">
      <c r="A118" s="6" t="s">
        <v>43</v>
      </c>
      <c r="B118" t="s">
        <v>43</v>
      </c>
      <c r="C118" t="s">
        <v>60</v>
      </c>
      <c r="D118" t="s">
        <v>61</v>
      </c>
      <c r="E118" t="s">
        <v>146</v>
      </c>
      <c r="F118">
        <v>255</v>
      </c>
      <c r="I118" t="s">
        <v>147</v>
      </c>
      <c r="J118" t="s">
        <v>148</v>
      </c>
      <c r="K118" t="s">
        <v>149</v>
      </c>
      <c r="L118" t="s">
        <v>150</v>
      </c>
      <c r="M118" t="s">
        <v>59</v>
      </c>
      <c r="N118" t="str">
        <f t="shared" si="28"/>
        <v>{"name" : "FICHA",</v>
      </c>
      <c r="O118" t="str">
        <f t="shared" si="29"/>
        <v>"field" : "ficha",</v>
      </c>
      <c r="P118" t="str">
        <f t="shared" si="30"/>
        <v>"type" : "VarChar",</v>
      </c>
      <c r="Q118" t="str">
        <f t="shared" si="31"/>
        <v>"size" : "255",</v>
      </c>
      <c r="R118" t="str">
        <f t="shared" si="32"/>
        <v>"null" : "true"},</v>
      </c>
      <c r="S118" t="str">
        <f t="shared" si="33"/>
        <v>{"name" : "FICHA","field" : "ficha","type" : "VarChar","size" : "255","null" : "true"},</v>
      </c>
    </row>
    <row r="119" spans="1:19" x14ac:dyDescent="0.25">
      <c r="A119" s="6" t="s">
        <v>43</v>
      </c>
      <c r="B119" t="s">
        <v>43</v>
      </c>
      <c r="C119" t="s">
        <v>64</v>
      </c>
      <c r="D119" t="s">
        <v>65</v>
      </c>
      <c r="E119" t="s">
        <v>146</v>
      </c>
      <c r="F119">
        <v>255</v>
      </c>
      <c r="I119" t="s">
        <v>147</v>
      </c>
      <c r="J119" t="s">
        <v>148</v>
      </c>
      <c r="K119" t="s">
        <v>149</v>
      </c>
      <c r="L119" t="s">
        <v>150</v>
      </c>
      <c r="M119" t="s">
        <v>59</v>
      </c>
      <c r="N119" t="str">
        <f t="shared" si="28"/>
        <v>{"name" : "ESPECIALIDADE",</v>
      </c>
      <c r="O119" t="str">
        <f t="shared" si="29"/>
        <v>"field" : "especialidade",</v>
      </c>
      <c r="P119" t="str">
        <f t="shared" si="30"/>
        <v>"type" : "VarChar",</v>
      </c>
      <c r="Q119" t="str">
        <f t="shared" si="31"/>
        <v>"size" : "255",</v>
      </c>
      <c r="R119" t="str">
        <f t="shared" si="32"/>
        <v>"null" : "true"},</v>
      </c>
      <c r="S119" t="str">
        <f t="shared" si="33"/>
        <v>{"name" : "ESPECIALIDADE","field" : "especialidade","type" : "VarChar","size" : "255","null" : "true"},</v>
      </c>
    </row>
    <row r="120" spans="1:19" x14ac:dyDescent="0.25">
      <c r="A120" s="6" t="s">
        <v>43</v>
      </c>
      <c r="B120" t="s">
        <v>43</v>
      </c>
      <c r="C120" t="s">
        <v>62</v>
      </c>
      <c r="D120" t="s">
        <v>63</v>
      </c>
      <c r="E120" t="s">
        <v>146</v>
      </c>
      <c r="F120">
        <v>255</v>
      </c>
      <c r="I120" t="s">
        <v>147</v>
      </c>
      <c r="J120" t="s">
        <v>148</v>
      </c>
      <c r="K120" t="s">
        <v>149</v>
      </c>
      <c r="L120" t="s">
        <v>150</v>
      </c>
      <c r="M120" t="s">
        <v>59</v>
      </c>
      <c r="N120" t="str">
        <f t="shared" si="28"/>
        <v>{"name" : "SOLICITACAO",</v>
      </c>
      <c r="O120" t="str">
        <f t="shared" si="29"/>
        <v>"field" : "solicitacao",</v>
      </c>
      <c r="P120" t="str">
        <f t="shared" si="30"/>
        <v>"type" : "VarChar",</v>
      </c>
      <c r="Q120" t="str">
        <f t="shared" si="31"/>
        <v>"size" : "255",</v>
      </c>
      <c r="R120" t="str">
        <f t="shared" si="32"/>
        <v>"null" : "true"},</v>
      </c>
      <c r="S120" t="str">
        <f t="shared" si="33"/>
        <v>{"name" : "SOLICITACAO","field" : "solicitacao","type" : "VarChar","size" : "255","null" : "true"},</v>
      </c>
    </row>
    <row r="121" spans="1:19" x14ac:dyDescent="0.25">
      <c r="A121" s="6" t="s">
        <v>43</v>
      </c>
      <c r="B121" t="s">
        <v>43</v>
      </c>
      <c r="C121" t="s">
        <v>109</v>
      </c>
      <c r="D121" t="s">
        <v>110</v>
      </c>
      <c r="E121" t="s">
        <v>146</v>
      </c>
      <c r="F121">
        <v>255</v>
      </c>
      <c r="I121" t="s">
        <v>147</v>
      </c>
      <c r="J121" t="s">
        <v>148</v>
      </c>
      <c r="K121" t="s">
        <v>149</v>
      </c>
      <c r="L121" t="s">
        <v>150</v>
      </c>
      <c r="M121" t="s">
        <v>59</v>
      </c>
      <c r="N121" t="str">
        <f t="shared" si="28"/>
        <v>{"name" : "MUNICIPIO",</v>
      </c>
      <c r="O121" t="str">
        <f t="shared" si="29"/>
        <v>"field" : "municipio",</v>
      </c>
      <c r="P121" t="str">
        <f t="shared" si="30"/>
        <v>"type" : "VarChar",</v>
      </c>
      <c r="Q121" t="str">
        <f t="shared" si="31"/>
        <v>"size" : "255",</v>
      </c>
      <c r="R121" t="str">
        <f t="shared" si="32"/>
        <v>"null" : "true"},</v>
      </c>
      <c r="S121" t="str">
        <f t="shared" si="33"/>
        <v>{"name" : "MUNICIPIO","field" : "municipio","type" : "VarChar","size" : "255","null" : "true"},</v>
      </c>
    </row>
    <row r="122" spans="1:19" x14ac:dyDescent="0.25">
      <c r="A122" s="6" t="s">
        <v>43</v>
      </c>
      <c r="B122" t="s">
        <v>43</v>
      </c>
      <c r="C122" t="s">
        <v>82</v>
      </c>
      <c r="D122" t="s">
        <v>83</v>
      </c>
      <c r="E122" t="s">
        <v>146</v>
      </c>
      <c r="F122">
        <v>255</v>
      </c>
      <c r="I122" t="s">
        <v>147</v>
      </c>
      <c r="J122" t="s">
        <v>148</v>
      </c>
      <c r="K122" t="s">
        <v>149</v>
      </c>
      <c r="L122" t="s">
        <v>150</v>
      </c>
      <c r="M122" t="s">
        <v>59</v>
      </c>
      <c r="N122" t="str">
        <f t="shared" si="28"/>
        <v>{"name" : "TIPO_BUSCA",</v>
      </c>
      <c r="O122" t="str">
        <f t="shared" si="29"/>
        <v>"field" : "tipoBusca",</v>
      </c>
      <c r="P122" t="str">
        <f t="shared" si="30"/>
        <v>"type" : "VarChar",</v>
      </c>
      <c r="Q122" t="str">
        <f t="shared" si="31"/>
        <v>"size" : "255",</v>
      </c>
      <c r="R122" t="str">
        <f t="shared" si="32"/>
        <v>"null" : "true"},</v>
      </c>
      <c r="S122" t="str">
        <f t="shared" si="33"/>
        <v>{"name" : "TIPO_BUSCA","field" : "tipoBusca","type" : "VarChar","size" : "255","null" : "true"},</v>
      </c>
    </row>
    <row r="123" spans="1:19" x14ac:dyDescent="0.25">
      <c r="A123" s="6" t="s">
        <v>43</v>
      </c>
      <c r="B123" t="s">
        <v>43</v>
      </c>
      <c r="C123" t="s">
        <v>90</v>
      </c>
      <c r="D123" t="s">
        <v>91</v>
      </c>
      <c r="E123" t="s">
        <v>146</v>
      </c>
      <c r="F123">
        <v>255</v>
      </c>
      <c r="I123" t="s">
        <v>147</v>
      </c>
      <c r="J123" t="s">
        <v>148</v>
      </c>
      <c r="K123" t="s">
        <v>149</v>
      </c>
      <c r="L123" t="s">
        <v>150</v>
      </c>
      <c r="M123" t="s">
        <v>59</v>
      </c>
      <c r="N123" t="str">
        <f t="shared" si="28"/>
        <v>{"name" : "TIPO_MARCACAO",</v>
      </c>
      <c r="O123" t="str">
        <f t="shared" si="29"/>
        <v>"field" : "tipoMarcacao",</v>
      </c>
      <c r="P123" t="str">
        <f t="shared" si="30"/>
        <v>"type" : "VarChar",</v>
      </c>
      <c r="Q123" t="str">
        <f t="shared" si="31"/>
        <v>"size" : "255",</v>
      </c>
      <c r="R123" t="str">
        <f t="shared" si="32"/>
        <v>"null" : "true"},</v>
      </c>
      <c r="S123" t="str">
        <f t="shared" si="33"/>
        <v>{"name" : "TIPO_MARCACAO","field" : "tipoMarcacao","type" : "VarChar","size" : "255","null" : "true"},</v>
      </c>
    </row>
    <row r="124" spans="1:19" x14ac:dyDescent="0.25">
      <c r="A124" s="6" t="s">
        <v>43</v>
      </c>
      <c r="B124" t="s">
        <v>43</v>
      </c>
      <c r="C124" t="s">
        <v>111</v>
      </c>
      <c r="D124" t="s">
        <v>112</v>
      </c>
      <c r="E124" t="s">
        <v>146</v>
      </c>
      <c r="F124">
        <v>255</v>
      </c>
      <c r="I124" t="s">
        <v>147</v>
      </c>
      <c r="J124" t="s">
        <v>148</v>
      </c>
      <c r="K124" t="s">
        <v>149</v>
      </c>
      <c r="L124" t="s">
        <v>150</v>
      </c>
      <c r="M124" t="s">
        <v>59</v>
      </c>
      <c r="N124" t="str">
        <f t="shared" si="28"/>
        <v>{"name" : "SITUACAO",</v>
      </c>
      <c r="O124" t="str">
        <f t="shared" si="29"/>
        <v>"field" : "situacao",</v>
      </c>
      <c r="P124" t="str">
        <f t="shared" si="30"/>
        <v>"type" : "VarChar",</v>
      </c>
      <c r="Q124" t="str">
        <f t="shared" si="31"/>
        <v>"size" : "255",</v>
      </c>
      <c r="R124" t="str">
        <f t="shared" si="32"/>
        <v>"null" : "true"},</v>
      </c>
      <c r="S124" t="str">
        <f t="shared" si="33"/>
        <v>{"name" : "SITUACAO","field" : "situacao","type" : "VarChar","size" : "255","null" : "true"},</v>
      </c>
    </row>
    <row r="125" spans="1:19" x14ac:dyDescent="0.25">
      <c r="A125" s="6" t="s">
        <v>43</v>
      </c>
      <c r="B125" t="s">
        <v>43</v>
      </c>
      <c r="C125" t="s">
        <v>80</v>
      </c>
      <c r="D125" t="s">
        <v>81</v>
      </c>
      <c r="E125" t="s">
        <v>76</v>
      </c>
      <c r="F125">
        <v>10</v>
      </c>
      <c r="I125" t="s">
        <v>147</v>
      </c>
      <c r="J125" t="s">
        <v>148</v>
      </c>
      <c r="K125" t="s">
        <v>149</v>
      </c>
      <c r="L125" t="s">
        <v>150</v>
      </c>
      <c r="M125" t="s">
        <v>59</v>
      </c>
      <c r="N125" t="str">
        <f t="shared" si="28"/>
        <v>{"name" : "DATA_RETORNO_OBRIGATORIO",</v>
      </c>
      <c r="O125" t="str">
        <f t="shared" si="29"/>
        <v>"field" : "dataRetornoObrigatorio",</v>
      </c>
      <c r="P125" t="str">
        <f t="shared" si="30"/>
        <v>"type" : "Date",</v>
      </c>
      <c r="Q125" t="str">
        <f t="shared" si="31"/>
        <v>"size" : "10",</v>
      </c>
      <c r="R125" t="str">
        <f t="shared" si="32"/>
        <v>"null" : "true"},</v>
      </c>
      <c r="S125" t="str">
        <f t="shared" si="33"/>
        <v>{"name" : "DATA_RETORNO_OBRIGATORIO","field" : "dataRetornoObrigatorio","type" : "Date","size" : "10","null" : "true"},</v>
      </c>
    </row>
    <row r="126" spans="1:19" x14ac:dyDescent="0.25">
      <c r="A126" s="6" t="s">
        <v>43</v>
      </c>
      <c r="B126" t="s">
        <v>43</v>
      </c>
      <c r="C126" t="s">
        <v>88</v>
      </c>
      <c r="D126" t="s">
        <v>89</v>
      </c>
      <c r="E126" t="s">
        <v>146</v>
      </c>
      <c r="F126">
        <v>255</v>
      </c>
      <c r="I126" t="s">
        <v>147</v>
      </c>
      <c r="J126" t="s">
        <v>148</v>
      </c>
      <c r="K126" t="s">
        <v>149</v>
      </c>
      <c r="L126" t="s">
        <v>150</v>
      </c>
      <c r="M126" t="s">
        <v>59</v>
      </c>
      <c r="N126" t="str">
        <f t="shared" si="28"/>
        <v>{"name" : "UNIDADE_REQUERIDA",</v>
      </c>
      <c r="O126" t="str">
        <f t="shared" si="29"/>
        <v>"field" : "unidadeRequerida",</v>
      </c>
      <c r="P126" t="str">
        <f t="shared" si="30"/>
        <v>"type" : "VarChar",</v>
      </c>
      <c r="Q126" t="str">
        <f t="shared" si="31"/>
        <v>"size" : "255",</v>
      </c>
      <c r="R126" t="str">
        <f t="shared" si="32"/>
        <v>"null" : "true"},</v>
      </c>
      <c r="S126" t="str">
        <f t="shared" si="33"/>
        <v>{"name" : "UNIDADE_REQUERIDA","field" : "unidadeRequerida","type" : "VarChar","size" : "255","null" : "true"},</v>
      </c>
    </row>
    <row r="127" spans="1:19" x14ac:dyDescent="0.25">
      <c r="A127" s="6" t="s">
        <v>43</v>
      </c>
      <c r="B127" t="s">
        <v>43</v>
      </c>
      <c r="C127" t="s">
        <v>86</v>
      </c>
      <c r="D127" t="s">
        <v>87</v>
      </c>
      <c r="E127" t="s">
        <v>146</v>
      </c>
      <c r="F127">
        <v>255</v>
      </c>
      <c r="I127" t="s">
        <v>147</v>
      </c>
      <c r="J127" t="s">
        <v>148</v>
      </c>
      <c r="K127" t="s">
        <v>149</v>
      </c>
      <c r="L127" t="s">
        <v>150</v>
      </c>
      <c r="M127" t="s">
        <v>59</v>
      </c>
      <c r="N127" t="str">
        <f t="shared" si="28"/>
        <v>{"name" : "MEDICO_REQUERIDO",</v>
      </c>
      <c r="O127" t="str">
        <f t="shared" si="29"/>
        <v>"field" : "medicoRequerido",</v>
      </c>
      <c r="P127" t="str">
        <f t="shared" si="30"/>
        <v>"type" : "VarChar",</v>
      </c>
      <c r="Q127" t="str">
        <f t="shared" si="31"/>
        <v>"size" : "255",</v>
      </c>
      <c r="R127" t="str">
        <f t="shared" si="32"/>
        <v>"null" : "true"},</v>
      </c>
      <c r="S127" t="str">
        <f t="shared" si="33"/>
        <v>{"name" : "MEDICO_REQUERIDO","field" : "medicoRequerido","type" : "VarChar","size" : "255","null" : "true"},</v>
      </c>
    </row>
    <row r="128" spans="1:19" x14ac:dyDescent="0.25">
      <c r="A128" s="7"/>
    </row>
    <row r="129" spans="1:19" x14ac:dyDescent="0.25">
      <c r="A129" s="6" t="s">
        <v>36</v>
      </c>
    </row>
    <row r="130" spans="1:19" x14ac:dyDescent="0.25">
      <c r="A130" s="6" t="s">
        <v>43</v>
      </c>
      <c r="B130" t="s">
        <v>43</v>
      </c>
      <c r="C130" t="s">
        <v>44</v>
      </c>
      <c r="D130" t="s">
        <v>113</v>
      </c>
    </row>
    <row r="131" spans="1:19" x14ac:dyDescent="0.25">
      <c r="A131" s="6" t="s">
        <v>43</v>
      </c>
      <c r="B131" t="s">
        <v>43</v>
      </c>
      <c r="C131" t="s">
        <v>46</v>
      </c>
      <c r="D131" t="s">
        <v>47</v>
      </c>
    </row>
    <row r="132" spans="1:19" x14ac:dyDescent="0.25">
      <c r="A132" s="6" t="s">
        <v>43</v>
      </c>
      <c r="B132" t="s">
        <v>43</v>
      </c>
      <c r="C132" t="s">
        <v>48</v>
      </c>
      <c r="D132" t="s">
        <v>49</v>
      </c>
    </row>
    <row r="133" spans="1:19" x14ac:dyDescent="0.25">
      <c r="A133" s="6" t="s">
        <v>43</v>
      </c>
      <c r="B133" t="s">
        <v>43</v>
      </c>
      <c r="C133" t="s">
        <v>50</v>
      </c>
      <c r="D133" t="s">
        <v>51</v>
      </c>
    </row>
    <row r="134" spans="1:19" x14ac:dyDescent="0.25">
      <c r="A134" s="6" t="s">
        <v>43</v>
      </c>
      <c r="B134" t="s">
        <v>43</v>
      </c>
      <c r="C134" t="s">
        <v>52</v>
      </c>
      <c r="D134" t="s">
        <v>53</v>
      </c>
    </row>
    <row r="135" spans="1:19" x14ac:dyDescent="0.25">
      <c r="A135" s="6" t="s">
        <v>43</v>
      </c>
      <c r="B135" t="s">
        <v>43</v>
      </c>
      <c r="C135" t="s">
        <v>54</v>
      </c>
      <c r="D135" t="s">
        <v>55</v>
      </c>
    </row>
    <row r="136" spans="1:19" x14ac:dyDescent="0.25">
      <c r="A136" s="6" t="s">
        <v>43</v>
      </c>
      <c r="B136" t="s">
        <v>43</v>
      </c>
      <c r="C136" t="s">
        <v>56</v>
      </c>
      <c r="D136" t="s">
        <v>57</v>
      </c>
      <c r="E136" t="s">
        <v>146</v>
      </c>
      <c r="F136">
        <v>255</v>
      </c>
      <c r="G136" t="s">
        <v>95</v>
      </c>
      <c r="H136" t="s">
        <v>96</v>
      </c>
      <c r="I136" t="s">
        <v>147</v>
      </c>
      <c r="J136" t="s">
        <v>148</v>
      </c>
      <c r="K136" t="s">
        <v>149</v>
      </c>
      <c r="L136" t="s">
        <v>150</v>
      </c>
      <c r="M136" t="s">
        <v>59</v>
      </c>
      <c r="N136" t="str">
        <f t="shared" ref="N136:N147" si="34">"{"&amp;CHAR(34)&amp;I136&amp;CHAR(34)&amp;" : "&amp;CHAR(34)&amp;C136&amp;CHAR(34)&amp;","</f>
        <v>{"name" : "CENTRAL",</v>
      </c>
      <c r="O136" t="str">
        <f t="shared" ref="O136:O147" si="35">CHAR(34)&amp;J136&amp;CHAR(34)&amp;" : "&amp;CHAR(34)&amp;D136&amp;CHAR(34)&amp;","</f>
        <v>"field" : "central",</v>
      </c>
      <c r="P136" t="str">
        <f t="shared" ref="P136:P147" si="36">CHAR(34)&amp;K136&amp;CHAR(34)&amp;" : "&amp;CHAR(34)&amp;E136&amp;CHAR(34)&amp;","</f>
        <v>"type" : "VarChar",</v>
      </c>
      <c r="Q136" t="str">
        <f t="shared" ref="Q136:Q147" si="37">CHAR(34)&amp;L136&amp;CHAR(34)&amp;" : "&amp;CHAR(34)&amp;F136&amp;CHAR(34)&amp;","</f>
        <v>"size" : "255",</v>
      </c>
      <c r="R136" t="str">
        <f t="shared" ref="R136:R147" si="38">CHAR(34)&amp;M136&amp;CHAR(34)&amp;" : "&amp;CHAR(34)&amp;IF(G136="not","false","true")&amp;CHAR(34)&amp;"},"</f>
        <v>"null" : "false"},</v>
      </c>
      <c r="S136" t="str">
        <f t="shared" ref="S136:S147" si="39">N136&amp;O136&amp;P136&amp;Q136&amp;R136</f>
        <v>{"name" : "CENTRAL","field" : "central","type" : "VarChar","size" : "255","null" : "false"},</v>
      </c>
    </row>
    <row r="137" spans="1:19" x14ac:dyDescent="0.25">
      <c r="A137" s="6" t="s">
        <v>43</v>
      </c>
      <c r="B137" t="s">
        <v>43</v>
      </c>
      <c r="C137" t="s">
        <v>68</v>
      </c>
      <c r="D137" t="s">
        <v>69</v>
      </c>
      <c r="E137" t="s">
        <v>146</v>
      </c>
      <c r="F137">
        <v>255</v>
      </c>
      <c r="I137" t="s">
        <v>147</v>
      </c>
      <c r="J137" t="s">
        <v>148</v>
      </c>
      <c r="K137" t="s">
        <v>149</v>
      </c>
      <c r="L137" t="s">
        <v>150</v>
      </c>
      <c r="M137" t="s">
        <v>59</v>
      </c>
      <c r="N137" t="str">
        <f t="shared" si="34"/>
        <v>{"name" : "SOLICITANTE",</v>
      </c>
      <c r="O137" t="str">
        <f t="shared" si="35"/>
        <v>"field" : "solicitante",</v>
      </c>
      <c r="P137" t="str">
        <f t="shared" si="36"/>
        <v>"type" : "VarChar",</v>
      </c>
      <c r="Q137" t="str">
        <f t="shared" si="37"/>
        <v>"size" : "255",</v>
      </c>
      <c r="R137" t="str">
        <f t="shared" si="38"/>
        <v>"null" : "true"},</v>
      </c>
      <c r="S137" t="str">
        <f t="shared" si="39"/>
        <v>{"name" : "SOLICITANTE","field" : "solicitante","type" : "VarChar","size" : "255","null" : "true"},</v>
      </c>
    </row>
    <row r="138" spans="1:19" x14ac:dyDescent="0.25">
      <c r="A138" s="6" t="s">
        <v>43</v>
      </c>
      <c r="B138" t="s">
        <v>43</v>
      </c>
      <c r="C138" t="s">
        <v>60</v>
      </c>
      <c r="D138" t="s">
        <v>61</v>
      </c>
      <c r="E138" t="s">
        <v>146</v>
      </c>
      <c r="F138">
        <v>255</v>
      </c>
      <c r="I138" t="s">
        <v>147</v>
      </c>
      <c r="J138" t="s">
        <v>148</v>
      </c>
      <c r="K138" t="s">
        <v>149</v>
      </c>
      <c r="L138" t="s">
        <v>150</v>
      </c>
      <c r="M138" t="s">
        <v>59</v>
      </c>
      <c r="N138" t="str">
        <f t="shared" si="34"/>
        <v>{"name" : "FICHA",</v>
      </c>
      <c r="O138" t="str">
        <f t="shared" si="35"/>
        <v>"field" : "ficha",</v>
      </c>
      <c r="P138" t="str">
        <f t="shared" si="36"/>
        <v>"type" : "VarChar",</v>
      </c>
      <c r="Q138" t="str">
        <f t="shared" si="37"/>
        <v>"size" : "255",</v>
      </c>
      <c r="R138" t="str">
        <f t="shared" si="38"/>
        <v>"null" : "true"},</v>
      </c>
      <c r="S138" t="str">
        <f t="shared" si="39"/>
        <v>{"name" : "FICHA","field" : "ficha","type" : "VarChar","size" : "255","null" : "true"},</v>
      </c>
    </row>
    <row r="139" spans="1:19" x14ac:dyDescent="0.25">
      <c r="A139" s="6" t="s">
        <v>43</v>
      </c>
      <c r="B139" t="s">
        <v>43</v>
      </c>
      <c r="C139" t="s">
        <v>64</v>
      </c>
      <c r="D139" t="s">
        <v>65</v>
      </c>
      <c r="E139" t="s">
        <v>146</v>
      </c>
      <c r="F139">
        <v>255</v>
      </c>
      <c r="I139" t="s">
        <v>147</v>
      </c>
      <c r="J139" t="s">
        <v>148</v>
      </c>
      <c r="K139" t="s">
        <v>149</v>
      </c>
      <c r="L139" t="s">
        <v>150</v>
      </c>
      <c r="M139" t="s">
        <v>59</v>
      </c>
      <c r="N139" t="str">
        <f t="shared" si="34"/>
        <v>{"name" : "ESPECIALIDADE",</v>
      </c>
      <c r="O139" t="str">
        <f t="shared" si="35"/>
        <v>"field" : "especialidade",</v>
      </c>
      <c r="P139" t="str">
        <f t="shared" si="36"/>
        <v>"type" : "VarChar",</v>
      </c>
      <c r="Q139" t="str">
        <f t="shared" si="37"/>
        <v>"size" : "255",</v>
      </c>
      <c r="R139" t="str">
        <f t="shared" si="38"/>
        <v>"null" : "true"},</v>
      </c>
      <c r="S139" t="str">
        <f t="shared" si="39"/>
        <v>{"name" : "ESPECIALIDADE","field" : "especialidade","type" : "VarChar","size" : "255","null" : "true"},</v>
      </c>
    </row>
    <row r="140" spans="1:19" x14ac:dyDescent="0.25">
      <c r="A140" s="6" t="s">
        <v>43</v>
      </c>
      <c r="B140" t="s">
        <v>43</v>
      </c>
      <c r="C140" t="s">
        <v>62</v>
      </c>
      <c r="D140" t="s">
        <v>63</v>
      </c>
      <c r="E140" t="s">
        <v>146</v>
      </c>
      <c r="F140">
        <v>255</v>
      </c>
      <c r="I140" t="s">
        <v>147</v>
      </c>
      <c r="J140" t="s">
        <v>148</v>
      </c>
      <c r="K140" t="s">
        <v>149</v>
      </c>
      <c r="L140" t="s">
        <v>150</v>
      </c>
      <c r="M140" t="s">
        <v>59</v>
      </c>
      <c r="N140" t="str">
        <f t="shared" si="34"/>
        <v>{"name" : "SOLICITACAO",</v>
      </c>
      <c r="O140" t="str">
        <f t="shared" si="35"/>
        <v>"field" : "solicitacao",</v>
      </c>
      <c r="P140" t="str">
        <f t="shared" si="36"/>
        <v>"type" : "VarChar",</v>
      </c>
      <c r="Q140" t="str">
        <f t="shared" si="37"/>
        <v>"size" : "255",</v>
      </c>
      <c r="R140" t="str">
        <f t="shared" si="38"/>
        <v>"null" : "true"},</v>
      </c>
      <c r="S140" t="str">
        <f t="shared" si="39"/>
        <v>{"name" : "SOLICITACAO","field" : "solicitacao","type" : "VarChar","size" : "255","null" : "true"},</v>
      </c>
    </row>
    <row r="141" spans="1:19" x14ac:dyDescent="0.25">
      <c r="A141" s="6" t="s">
        <v>43</v>
      </c>
      <c r="B141" t="s">
        <v>43</v>
      </c>
      <c r="C141" t="s">
        <v>109</v>
      </c>
      <c r="D141" t="s">
        <v>110</v>
      </c>
      <c r="E141" t="s">
        <v>146</v>
      </c>
      <c r="F141">
        <v>255</v>
      </c>
      <c r="I141" t="s">
        <v>147</v>
      </c>
      <c r="J141" t="s">
        <v>148</v>
      </c>
      <c r="K141" t="s">
        <v>149</v>
      </c>
      <c r="L141" t="s">
        <v>150</v>
      </c>
      <c r="M141" t="s">
        <v>59</v>
      </c>
      <c r="N141" t="str">
        <f t="shared" si="34"/>
        <v>{"name" : "MUNICIPIO",</v>
      </c>
      <c r="O141" t="str">
        <f t="shared" si="35"/>
        <v>"field" : "municipio",</v>
      </c>
      <c r="P141" t="str">
        <f t="shared" si="36"/>
        <v>"type" : "VarChar",</v>
      </c>
      <c r="Q141" t="str">
        <f t="shared" si="37"/>
        <v>"size" : "255",</v>
      </c>
      <c r="R141" t="str">
        <f t="shared" si="38"/>
        <v>"null" : "true"},</v>
      </c>
      <c r="S141" t="str">
        <f t="shared" si="39"/>
        <v>{"name" : "MUNICIPIO","field" : "municipio","type" : "VarChar","size" : "255","null" : "true"},</v>
      </c>
    </row>
    <row r="142" spans="1:19" x14ac:dyDescent="0.25">
      <c r="A142" s="6" t="s">
        <v>43</v>
      </c>
      <c r="B142" t="s">
        <v>43</v>
      </c>
      <c r="C142" t="s">
        <v>82</v>
      </c>
      <c r="D142" t="s">
        <v>83</v>
      </c>
      <c r="E142" t="s">
        <v>146</v>
      </c>
      <c r="F142">
        <v>255</v>
      </c>
      <c r="I142" t="s">
        <v>147</v>
      </c>
      <c r="J142" t="s">
        <v>148</v>
      </c>
      <c r="K142" t="s">
        <v>149</v>
      </c>
      <c r="L142" t="s">
        <v>150</v>
      </c>
      <c r="M142" t="s">
        <v>59</v>
      </c>
      <c r="N142" t="str">
        <f t="shared" si="34"/>
        <v>{"name" : "TIPO_BUSCA",</v>
      </c>
      <c r="O142" t="str">
        <f t="shared" si="35"/>
        <v>"field" : "tipoBusca",</v>
      </c>
      <c r="P142" t="str">
        <f t="shared" si="36"/>
        <v>"type" : "VarChar",</v>
      </c>
      <c r="Q142" t="str">
        <f t="shared" si="37"/>
        <v>"size" : "255",</v>
      </c>
      <c r="R142" t="str">
        <f t="shared" si="38"/>
        <v>"null" : "true"},</v>
      </c>
      <c r="S142" t="str">
        <f t="shared" si="39"/>
        <v>{"name" : "TIPO_BUSCA","field" : "tipoBusca","type" : "VarChar","size" : "255","null" : "true"},</v>
      </c>
    </row>
    <row r="143" spans="1:19" x14ac:dyDescent="0.25">
      <c r="A143" s="6" t="s">
        <v>43</v>
      </c>
      <c r="B143" t="s">
        <v>43</v>
      </c>
      <c r="C143" t="s">
        <v>90</v>
      </c>
      <c r="D143" t="s">
        <v>91</v>
      </c>
      <c r="E143" t="s">
        <v>146</v>
      </c>
      <c r="F143">
        <v>255</v>
      </c>
      <c r="I143" t="s">
        <v>147</v>
      </c>
      <c r="J143" t="s">
        <v>148</v>
      </c>
      <c r="K143" t="s">
        <v>149</v>
      </c>
      <c r="L143" t="s">
        <v>150</v>
      </c>
      <c r="M143" t="s">
        <v>59</v>
      </c>
      <c r="N143" t="str">
        <f t="shared" si="34"/>
        <v>{"name" : "TIPO_MARCACAO",</v>
      </c>
      <c r="O143" t="str">
        <f t="shared" si="35"/>
        <v>"field" : "tipoMarcacao",</v>
      </c>
      <c r="P143" t="str">
        <f t="shared" si="36"/>
        <v>"type" : "VarChar",</v>
      </c>
      <c r="Q143" t="str">
        <f t="shared" si="37"/>
        <v>"size" : "255",</v>
      </c>
      <c r="R143" t="str">
        <f t="shared" si="38"/>
        <v>"null" : "true"},</v>
      </c>
      <c r="S143" t="str">
        <f t="shared" si="39"/>
        <v>{"name" : "TIPO_MARCACAO","field" : "tipoMarcacao","type" : "VarChar","size" : "255","null" : "true"},</v>
      </c>
    </row>
    <row r="144" spans="1:19" x14ac:dyDescent="0.25">
      <c r="A144" s="6" t="s">
        <v>43</v>
      </c>
      <c r="B144" t="s">
        <v>43</v>
      </c>
      <c r="C144" t="s">
        <v>111</v>
      </c>
      <c r="D144" t="s">
        <v>112</v>
      </c>
      <c r="E144" t="s">
        <v>146</v>
      </c>
      <c r="F144">
        <v>255</v>
      </c>
      <c r="I144" t="s">
        <v>147</v>
      </c>
      <c r="J144" t="s">
        <v>148</v>
      </c>
      <c r="K144" t="s">
        <v>149</v>
      </c>
      <c r="L144" t="s">
        <v>150</v>
      </c>
      <c r="M144" t="s">
        <v>59</v>
      </c>
      <c r="N144" t="str">
        <f t="shared" si="34"/>
        <v>{"name" : "SITUACAO",</v>
      </c>
      <c r="O144" t="str">
        <f t="shared" si="35"/>
        <v>"field" : "situacao",</v>
      </c>
      <c r="P144" t="str">
        <f t="shared" si="36"/>
        <v>"type" : "VarChar",</v>
      </c>
      <c r="Q144" t="str">
        <f t="shared" si="37"/>
        <v>"size" : "255",</v>
      </c>
      <c r="R144" t="str">
        <f t="shared" si="38"/>
        <v>"null" : "true"},</v>
      </c>
      <c r="S144" t="str">
        <f t="shared" si="39"/>
        <v>{"name" : "SITUACAO","field" : "situacao","type" : "VarChar","size" : "255","null" : "true"},</v>
      </c>
    </row>
    <row r="145" spans="1:19" x14ac:dyDescent="0.25">
      <c r="A145" s="6" t="s">
        <v>43</v>
      </c>
      <c r="B145" t="s">
        <v>43</v>
      </c>
      <c r="C145" t="s">
        <v>80</v>
      </c>
      <c r="D145" t="s">
        <v>81</v>
      </c>
      <c r="E145" t="s">
        <v>76</v>
      </c>
      <c r="F145">
        <v>10</v>
      </c>
      <c r="I145" t="s">
        <v>147</v>
      </c>
      <c r="J145" t="s">
        <v>148</v>
      </c>
      <c r="K145" t="s">
        <v>149</v>
      </c>
      <c r="L145" t="s">
        <v>150</v>
      </c>
      <c r="M145" t="s">
        <v>59</v>
      </c>
      <c r="N145" t="str">
        <f t="shared" si="34"/>
        <v>{"name" : "DATA_RETORNO_OBRIGATORIO",</v>
      </c>
      <c r="O145" t="str">
        <f t="shared" si="35"/>
        <v>"field" : "dataRetornoObrigatorio",</v>
      </c>
      <c r="P145" t="str">
        <f t="shared" si="36"/>
        <v>"type" : "Date",</v>
      </c>
      <c r="Q145" t="str">
        <f t="shared" si="37"/>
        <v>"size" : "10",</v>
      </c>
      <c r="R145" t="str">
        <f t="shared" si="38"/>
        <v>"null" : "true"},</v>
      </c>
      <c r="S145" t="str">
        <f t="shared" si="39"/>
        <v>{"name" : "DATA_RETORNO_OBRIGATORIO","field" : "dataRetornoObrigatorio","type" : "Date","size" : "10","null" : "true"},</v>
      </c>
    </row>
    <row r="146" spans="1:19" x14ac:dyDescent="0.25">
      <c r="A146" s="6" t="s">
        <v>43</v>
      </c>
      <c r="B146" t="s">
        <v>43</v>
      </c>
      <c r="C146" t="s">
        <v>88</v>
      </c>
      <c r="D146" t="s">
        <v>89</v>
      </c>
      <c r="E146" t="s">
        <v>146</v>
      </c>
      <c r="F146">
        <v>255</v>
      </c>
      <c r="I146" t="s">
        <v>147</v>
      </c>
      <c r="J146" t="s">
        <v>148</v>
      </c>
      <c r="K146" t="s">
        <v>149</v>
      </c>
      <c r="L146" t="s">
        <v>150</v>
      </c>
      <c r="M146" t="s">
        <v>59</v>
      </c>
      <c r="N146" t="str">
        <f t="shared" si="34"/>
        <v>{"name" : "UNIDADE_REQUERIDA",</v>
      </c>
      <c r="O146" t="str">
        <f t="shared" si="35"/>
        <v>"field" : "unidadeRequerida",</v>
      </c>
      <c r="P146" t="str">
        <f t="shared" si="36"/>
        <v>"type" : "VarChar",</v>
      </c>
      <c r="Q146" t="str">
        <f t="shared" si="37"/>
        <v>"size" : "255",</v>
      </c>
      <c r="R146" t="str">
        <f t="shared" si="38"/>
        <v>"null" : "true"},</v>
      </c>
      <c r="S146" t="str">
        <f t="shared" si="39"/>
        <v>{"name" : "UNIDADE_REQUERIDA","field" : "unidadeRequerida","type" : "VarChar","size" : "255","null" : "true"},</v>
      </c>
    </row>
    <row r="147" spans="1:19" x14ac:dyDescent="0.25">
      <c r="A147" s="6" t="s">
        <v>43</v>
      </c>
      <c r="B147" t="s">
        <v>43</v>
      </c>
      <c r="C147" t="s">
        <v>86</v>
      </c>
      <c r="D147" t="s">
        <v>87</v>
      </c>
      <c r="E147" t="s">
        <v>146</v>
      </c>
      <c r="F147">
        <v>255</v>
      </c>
      <c r="I147" t="s">
        <v>147</v>
      </c>
      <c r="J147" t="s">
        <v>148</v>
      </c>
      <c r="K147" t="s">
        <v>149</v>
      </c>
      <c r="L147" t="s">
        <v>150</v>
      </c>
      <c r="M147" t="s">
        <v>59</v>
      </c>
      <c r="N147" t="str">
        <f t="shared" si="34"/>
        <v>{"name" : "MEDICO_REQUERIDO",</v>
      </c>
      <c r="O147" t="str">
        <f t="shared" si="35"/>
        <v>"field" : "medicoRequerido",</v>
      </c>
      <c r="P147" t="str">
        <f t="shared" si="36"/>
        <v>"type" : "VarChar",</v>
      </c>
      <c r="Q147" t="str">
        <f t="shared" si="37"/>
        <v>"size" : "255",</v>
      </c>
      <c r="R147" t="str">
        <f t="shared" si="38"/>
        <v>"null" : "true"},</v>
      </c>
      <c r="S147" t="str">
        <f t="shared" si="39"/>
        <v>{"name" : "MEDICO_REQUERIDO","field" : "medicoRequerido","type" : "VarChar","size" : "255","null" : "true"},</v>
      </c>
    </row>
    <row r="148" spans="1:19" x14ac:dyDescent="0.25">
      <c r="A148" s="7"/>
    </row>
    <row r="149" spans="1:19" x14ac:dyDescent="0.25">
      <c r="A149" s="6" t="s">
        <v>37</v>
      </c>
    </row>
    <row r="150" spans="1:19" x14ac:dyDescent="0.25">
      <c r="A150" s="6" t="s">
        <v>43</v>
      </c>
      <c r="B150" t="s">
        <v>43</v>
      </c>
      <c r="C150" t="s">
        <v>44</v>
      </c>
      <c r="D150" t="s">
        <v>114</v>
      </c>
    </row>
    <row r="151" spans="1:19" x14ac:dyDescent="0.25">
      <c r="A151" s="6" t="s">
        <v>43</v>
      </c>
      <c r="B151" t="s">
        <v>43</v>
      </c>
      <c r="C151" t="s">
        <v>46</v>
      </c>
      <c r="D151" t="s">
        <v>47</v>
      </c>
    </row>
    <row r="152" spans="1:19" x14ac:dyDescent="0.25">
      <c r="A152" s="6" t="s">
        <v>43</v>
      </c>
      <c r="B152" t="s">
        <v>43</v>
      </c>
      <c r="C152" t="s">
        <v>48</v>
      </c>
      <c r="D152" t="s">
        <v>49</v>
      </c>
    </row>
    <row r="153" spans="1:19" x14ac:dyDescent="0.25">
      <c r="A153" s="6" t="s">
        <v>43</v>
      </c>
      <c r="B153" t="s">
        <v>43</v>
      </c>
      <c r="C153" t="s">
        <v>50</v>
      </c>
      <c r="D153" t="s">
        <v>51</v>
      </c>
    </row>
    <row r="154" spans="1:19" x14ac:dyDescent="0.25">
      <c r="A154" s="6" t="s">
        <v>43</v>
      </c>
      <c r="B154" t="s">
        <v>43</v>
      </c>
      <c r="C154" t="s">
        <v>52</v>
      </c>
      <c r="D154" t="s">
        <v>53</v>
      </c>
    </row>
    <row r="155" spans="1:19" x14ac:dyDescent="0.25">
      <c r="A155" s="6" t="s">
        <v>43</v>
      </c>
      <c r="B155" t="s">
        <v>43</v>
      </c>
      <c r="C155" t="s">
        <v>54</v>
      </c>
      <c r="D155" t="s">
        <v>55</v>
      </c>
    </row>
    <row r="156" spans="1:19" x14ac:dyDescent="0.25">
      <c r="A156" s="6" t="s">
        <v>43</v>
      </c>
      <c r="B156" t="s">
        <v>43</v>
      </c>
      <c r="C156" t="s">
        <v>115</v>
      </c>
      <c r="D156" t="s">
        <v>116</v>
      </c>
      <c r="E156" t="s">
        <v>76</v>
      </c>
      <c r="F156">
        <v>10</v>
      </c>
      <c r="I156" t="s">
        <v>147</v>
      </c>
      <c r="J156" t="s">
        <v>148</v>
      </c>
      <c r="K156" t="s">
        <v>149</v>
      </c>
      <c r="L156" t="s">
        <v>150</v>
      </c>
      <c r="M156" t="s">
        <v>59</v>
      </c>
      <c r="N156" t="str">
        <f t="shared" ref="N156:N165" si="40">"{"&amp;CHAR(34)&amp;I156&amp;CHAR(34)&amp;" : "&amp;CHAR(34)&amp;C156&amp;CHAR(34)&amp;","</f>
        <v>{"name" : "DATA",</v>
      </c>
      <c r="O156" t="str">
        <f t="shared" ref="O156:O165" si="41">CHAR(34)&amp;J156&amp;CHAR(34)&amp;" : "&amp;CHAR(34)&amp;D156&amp;CHAR(34)&amp;","</f>
        <v>"field" : "data",</v>
      </c>
      <c r="P156" t="str">
        <f t="shared" ref="P156:P165" si="42">CHAR(34)&amp;K156&amp;CHAR(34)&amp;" : "&amp;CHAR(34)&amp;E156&amp;CHAR(34)&amp;","</f>
        <v>"type" : "Date",</v>
      </c>
      <c r="Q156" t="str">
        <f t="shared" ref="Q156:Q165" si="43">CHAR(34)&amp;L156&amp;CHAR(34)&amp;" : "&amp;CHAR(34)&amp;F156&amp;CHAR(34)&amp;","</f>
        <v>"size" : "10",</v>
      </c>
      <c r="R156" t="str">
        <f t="shared" ref="R156:R165" si="44">CHAR(34)&amp;M156&amp;CHAR(34)&amp;" : "&amp;CHAR(34)&amp;IF(G156="not","false","true")&amp;CHAR(34)&amp;"},"</f>
        <v>"null" : "true"},</v>
      </c>
      <c r="S156" t="str">
        <f t="shared" ref="S156:S165" si="45">N156&amp;O156&amp;P156&amp;Q156&amp;R156</f>
        <v>{"name" : "DATA","field" : "data","type" : "Date","size" : "10","null" : "true"},</v>
      </c>
    </row>
    <row r="157" spans="1:19" x14ac:dyDescent="0.25">
      <c r="A157" s="6" t="s">
        <v>43</v>
      </c>
      <c r="B157" t="s">
        <v>43</v>
      </c>
      <c r="C157" t="s">
        <v>117</v>
      </c>
      <c r="D157" t="s">
        <v>118</v>
      </c>
      <c r="E157" t="s">
        <v>79</v>
      </c>
      <c r="F157">
        <v>5</v>
      </c>
      <c r="I157" t="s">
        <v>147</v>
      </c>
      <c r="J157" t="s">
        <v>148</v>
      </c>
      <c r="K157" t="s">
        <v>149</v>
      </c>
      <c r="L157" t="s">
        <v>150</v>
      </c>
      <c r="M157" t="s">
        <v>59</v>
      </c>
      <c r="N157" t="str">
        <f t="shared" si="40"/>
        <v>{"name" : "HORA",</v>
      </c>
      <c r="O157" t="str">
        <f t="shared" si="41"/>
        <v>"field" : "hora",</v>
      </c>
      <c r="P157" t="str">
        <f t="shared" si="42"/>
        <v>"type" : "Time",</v>
      </c>
      <c r="Q157" t="str">
        <f t="shared" si="43"/>
        <v>"size" : "5",</v>
      </c>
      <c r="R157" t="str">
        <f t="shared" si="44"/>
        <v>"null" : "true"},</v>
      </c>
      <c r="S157" t="str">
        <f t="shared" si="45"/>
        <v>{"name" : "HORA","field" : "hora","type" : "Time","size" : "5","null" : "true"},</v>
      </c>
    </row>
    <row r="158" spans="1:19" x14ac:dyDescent="0.25">
      <c r="A158" s="6" t="s">
        <v>43</v>
      </c>
      <c r="B158" t="s">
        <v>43</v>
      </c>
      <c r="C158" t="s">
        <v>70</v>
      </c>
      <c r="D158" t="s">
        <v>71</v>
      </c>
      <c r="E158" t="s">
        <v>146</v>
      </c>
      <c r="F158">
        <v>255</v>
      </c>
      <c r="I158" t="s">
        <v>147</v>
      </c>
      <c r="J158" t="s">
        <v>148</v>
      </c>
      <c r="K158" t="s">
        <v>149</v>
      </c>
      <c r="L158" t="s">
        <v>150</v>
      </c>
      <c r="M158" t="s">
        <v>59</v>
      </c>
      <c r="N158" t="str">
        <f t="shared" si="40"/>
        <v>{"name" : "EXECUTANTE",</v>
      </c>
      <c r="O158" t="str">
        <f t="shared" si="41"/>
        <v>"field" : "executante",</v>
      </c>
      <c r="P158" t="str">
        <f t="shared" si="42"/>
        <v>"type" : "VarChar",</v>
      </c>
      <c r="Q158" t="str">
        <f t="shared" si="43"/>
        <v>"size" : "255",</v>
      </c>
      <c r="R158" t="str">
        <f t="shared" si="44"/>
        <v>"null" : "true"},</v>
      </c>
      <c r="S158" t="str">
        <f t="shared" si="45"/>
        <v>{"name" : "EXECUTANTE","field" : "executante","type" : "VarChar","size" : "255","null" : "true"},</v>
      </c>
    </row>
    <row r="159" spans="1:19" x14ac:dyDescent="0.25">
      <c r="A159" s="6" t="s">
        <v>43</v>
      </c>
      <c r="B159" t="s">
        <v>43</v>
      </c>
      <c r="C159" t="s">
        <v>72</v>
      </c>
      <c r="D159" t="s">
        <v>73</v>
      </c>
      <c r="E159" t="s">
        <v>146</v>
      </c>
      <c r="F159">
        <v>255</v>
      </c>
      <c r="I159" t="s">
        <v>147</v>
      </c>
      <c r="J159" t="s">
        <v>148</v>
      </c>
      <c r="K159" t="s">
        <v>149</v>
      </c>
      <c r="L159" t="s">
        <v>150</v>
      </c>
      <c r="M159" t="s">
        <v>59</v>
      </c>
      <c r="N159" t="str">
        <f t="shared" si="40"/>
        <v>{"name" : "MEDICO",</v>
      </c>
      <c r="O159" t="str">
        <f t="shared" si="41"/>
        <v>"field" : "medico",</v>
      </c>
      <c r="P159" t="str">
        <f t="shared" si="42"/>
        <v>"type" : "VarChar",</v>
      </c>
      <c r="Q159" t="str">
        <f t="shared" si="43"/>
        <v>"size" : "255",</v>
      </c>
      <c r="R159" t="str">
        <f t="shared" si="44"/>
        <v>"null" : "true"},</v>
      </c>
      <c r="S159" t="str">
        <f t="shared" si="45"/>
        <v>{"name" : "MEDICO","field" : "medico","type" : "VarChar","size" : "255","null" : "true"},</v>
      </c>
    </row>
    <row r="160" spans="1:19" x14ac:dyDescent="0.25">
      <c r="A160" s="6" t="s">
        <v>43</v>
      </c>
      <c r="B160" t="s">
        <v>43</v>
      </c>
      <c r="C160" t="s">
        <v>56</v>
      </c>
      <c r="D160" t="s">
        <v>57</v>
      </c>
      <c r="E160" t="s">
        <v>146</v>
      </c>
      <c r="F160">
        <v>255</v>
      </c>
      <c r="G160" t="s">
        <v>95</v>
      </c>
      <c r="H160" t="s">
        <v>96</v>
      </c>
      <c r="I160" t="s">
        <v>147</v>
      </c>
      <c r="J160" t="s">
        <v>148</v>
      </c>
      <c r="K160" t="s">
        <v>149</v>
      </c>
      <c r="L160" t="s">
        <v>150</v>
      </c>
      <c r="M160" t="s">
        <v>59</v>
      </c>
      <c r="N160" t="str">
        <f t="shared" si="40"/>
        <v>{"name" : "CENTRAL",</v>
      </c>
      <c r="O160" t="str">
        <f t="shared" si="41"/>
        <v>"field" : "central",</v>
      </c>
      <c r="P160" t="str">
        <f t="shared" si="42"/>
        <v>"type" : "VarChar",</v>
      </c>
      <c r="Q160" t="str">
        <f t="shared" si="43"/>
        <v>"size" : "255",</v>
      </c>
      <c r="R160" t="str">
        <f t="shared" si="44"/>
        <v>"null" : "false"},</v>
      </c>
      <c r="S160" t="str">
        <f t="shared" si="45"/>
        <v>{"name" : "CENTRAL","field" : "central","type" : "VarChar","size" : "255","null" : "false"},</v>
      </c>
    </row>
    <row r="161" spans="1:19" x14ac:dyDescent="0.25">
      <c r="A161" s="6" t="s">
        <v>43</v>
      </c>
      <c r="B161" t="s">
        <v>43</v>
      </c>
      <c r="C161" t="s">
        <v>119</v>
      </c>
      <c r="D161" t="s">
        <v>65</v>
      </c>
      <c r="E161" t="s">
        <v>146</v>
      </c>
      <c r="F161">
        <v>255</v>
      </c>
      <c r="I161" t="s">
        <v>147</v>
      </c>
      <c r="J161" t="s">
        <v>148</v>
      </c>
      <c r="K161" t="s">
        <v>149</v>
      </c>
      <c r="L161" t="s">
        <v>150</v>
      </c>
      <c r="M161" t="s">
        <v>59</v>
      </c>
      <c r="N161" t="str">
        <f t="shared" si="40"/>
        <v>{"name" : "DS_ESPEC_CONS",</v>
      </c>
      <c r="O161" t="str">
        <f t="shared" si="41"/>
        <v>"field" : "especialidade",</v>
      </c>
      <c r="P161" t="str">
        <f t="shared" si="42"/>
        <v>"type" : "VarChar",</v>
      </c>
      <c r="Q161" t="str">
        <f t="shared" si="43"/>
        <v>"size" : "255",</v>
      </c>
      <c r="R161" t="str">
        <f t="shared" si="44"/>
        <v>"null" : "true"},</v>
      </c>
      <c r="S161" t="str">
        <f t="shared" si="45"/>
        <v>{"name" : "DS_ESPEC_CONS","field" : "especialidade","type" : "VarChar","size" : "255","null" : "true"},</v>
      </c>
    </row>
    <row r="162" spans="1:19" x14ac:dyDescent="0.25">
      <c r="A162" s="6" t="s">
        <v>43</v>
      </c>
      <c r="B162" t="s">
        <v>43</v>
      </c>
      <c r="C162" t="s">
        <v>120</v>
      </c>
      <c r="D162" t="s">
        <v>121</v>
      </c>
      <c r="E162" t="s">
        <v>146</v>
      </c>
      <c r="F162">
        <v>255</v>
      </c>
      <c r="I162" t="s">
        <v>147</v>
      </c>
      <c r="J162" t="s">
        <v>148</v>
      </c>
      <c r="K162" t="s">
        <v>149</v>
      </c>
      <c r="L162" t="s">
        <v>150</v>
      </c>
      <c r="M162" t="s">
        <v>59</v>
      </c>
      <c r="N162" t="str">
        <f t="shared" si="40"/>
        <v>{"name" : "TIPO_AGENDA",</v>
      </c>
      <c r="O162" t="str">
        <f t="shared" si="41"/>
        <v>"field" : "tipoAgenda",</v>
      </c>
      <c r="P162" t="str">
        <f t="shared" si="42"/>
        <v>"type" : "VarChar",</v>
      </c>
      <c r="Q162" t="str">
        <f t="shared" si="43"/>
        <v>"size" : "255",</v>
      </c>
      <c r="R162" t="str">
        <f t="shared" si="44"/>
        <v>"null" : "true"},</v>
      </c>
      <c r="S162" t="str">
        <f t="shared" si="45"/>
        <v>{"name" : "TIPO_AGENDA","field" : "tipoAgenda","type" : "VarChar","size" : "255","null" : "true"},</v>
      </c>
    </row>
    <row r="163" spans="1:19" x14ac:dyDescent="0.25">
      <c r="A163" s="6" t="s">
        <v>43</v>
      </c>
      <c r="B163" t="s">
        <v>43</v>
      </c>
      <c r="C163" t="s">
        <v>122</v>
      </c>
      <c r="D163" t="s">
        <v>123</v>
      </c>
      <c r="E163" t="s">
        <v>146</v>
      </c>
      <c r="F163">
        <v>255</v>
      </c>
      <c r="I163" t="s">
        <v>147</v>
      </c>
      <c r="J163" t="s">
        <v>148</v>
      </c>
      <c r="K163" t="s">
        <v>149</v>
      </c>
      <c r="L163" t="s">
        <v>150</v>
      </c>
      <c r="M163" t="s">
        <v>59</v>
      </c>
      <c r="N163" t="str">
        <f t="shared" si="40"/>
        <v>{"name" : "TIPO_NAO_MARCACAO",</v>
      </c>
      <c r="O163" t="str">
        <f t="shared" si="41"/>
        <v>"field" : "tipoNaoMarcacao",</v>
      </c>
      <c r="P163" t="str">
        <f t="shared" si="42"/>
        <v>"type" : "VarChar",</v>
      </c>
      <c r="Q163" t="str">
        <f t="shared" si="43"/>
        <v>"size" : "255",</v>
      </c>
      <c r="R163" t="str">
        <f t="shared" si="44"/>
        <v>"null" : "true"},</v>
      </c>
      <c r="S163" t="str">
        <f t="shared" si="45"/>
        <v>{"name" : "TIPO_NAO_MARCACAO","field" : "tipoNaoMarcacao","type" : "VarChar","size" : "255","null" : "true"},</v>
      </c>
    </row>
    <row r="164" spans="1:19" x14ac:dyDescent="0.25">
      <c r="A164" s="6" t="s">
        <v>43</v>
      </c>
      <c r="B164" t="s">
        <v>43</v>
      </c>
      <c r="C164" t="s">
        <v>124</v>
      </c>
      <c r="D164" t="s">
        <v>125</v>
      </c>
      <c r="E164" t="s">
        <v>146</v>
      </c>
      <c r="F164">
        <v>255</v>
      </c>
      <c r="I164" t="s">
        <v>147</v>
      </c>
      <c r="J164" t="s">
        <v>148</v>
      </c>
      <c r="K164" t="s">
        <v>149</v>
      </c>
      <c r="L164" t="s">
        <v>150</v>
      </c>
      <c r="M164" t="s">
        <v>59</v>
      </c>
      <c r="N164" t="str">
        <f t="shared" si="40"/>
        <v>{"name" : "MOTIVO_IMPED_PROF",</v>
      </c>
      <c r="O164" t="str">
        <f t="shared" si="41"/>
        <v>"field" : "motivoImpedProf",</v>
      </c>
      <c r="P164" t="str">
        <f t="shared" si="42"/>
        <v>"type" : "VarChar",</v>
      </c>
      <c r="Q164" t="str">
        <f t="shared" si="43"/>
        <v>"size" : "255",</v>
      </c>
      <c r="R164" t="str">
        <f t="shared" si="44"/>
        <v>"null" : "true"},</v>
      </c>
      <c r="S164" t="str">
        <f t="shared" si="45"/>
        <v>{"name" : "MOTIVO_IMPED_PROF","field" : "motivoImpedProf","type" : "VarChar","size" : "255","null" : "true"},</v>
      </c>
    </row>
    <row r="165" spans="1:19" x14ac:dyDescent="0.25">
      <c r="A165" s="6" t="s">
        <v>43</v>
      </c>
      <c r="B165" t="s">
        <v>43</v>
      </c>
      <c r="C165" t="s">
        <v>126</v>
      </c>
      <c r="D165" t="s">
        <v>127</v>
      </c>
      <c r="E165" t="s">
        <v>146</v>
      </c>
      <c r="F165">
        <v>255</v>
      </c>
      <c r="I165" t="s">
        <v>147</v>
      </c>
      <c r="J165" t="s">
        <v>148</v>
      </c>
      <c r="K165" t="s">
        <v>149</v>
      </c>
      <c r="L165" t="s">
        <v>150</v>
      </c>
      <c r="M165" t="s">
        <v>59</v>
      </c>
      <c r="N165" t="str">
        <f t="shared" si="40"/>
        <v>{"name" : "MOTIVO_IMPED_UNID_CENT",</v>
      </c>
      <c r="O165" t="str">
        <f t="shared" si="41"/>
        <v>"field" : "motivoImpedUnidCent",</v>
      </c>
      <c r="P165" t="str">
        <f t="shared" si="42"/>
        <v>"type" : "VarChar",</v>
      </c>
      <c r="Q165" t="str">
        <f t="shared" si="43"/>
        <v>"size" : "255",</v>
      </c>
      <c r="R165" t="str">
        <f t="shared" si="44"/>
        <v>"null" : "true"},</v>
      </c>
      <c r="S165" t="str">
        <f t="shared" si="45"/>
        <v>{"name" : "MOTIVO_IMPED_UNID_CENT","field" : "motivoImpedUnidCent","type" : "VarChar","size" : "255","null" : "true"},</v>
      </c>
    </row>
    <row r="166" spans="1:19" x14ac:dyDescent="0.25">
      <c r="A166" s="7"/>
    </row>
    <row r="167" spans="1:19" x14ac:dyDescent="0.25">
      <c r="A167" s="6" t="s">
        <v>38</v>
      </c>
    </row>
    <row r="168" spans="1:19" x14ac:dyDescent="0.25">
      <c r="A168" s="6" t="s">
        <v>43</v>
      </c>
      <c r="B168" t="s">
        <v>43</v>
      </c>
      <c r="C168" t="s">
        <v>44</v>
      </c>
      <c r="D168" t="s">
        <v>128</v>
      </c>
    </row>
    <row r="169" spans="1:19" x14ac:dyDescent="0.25">
      <c r="A169" s="6" t="s">
        <v>43</v>
      </c>
      <c r="B169" t="s">
        <v>43</v>
      </c>
      <c r="C169" t="s">
        <v>46</v>
      </c>
      <c r="D169" t="s">
        <v>47</v>
      </c>
    </row>
    <row r="170" spans="1:19" x14ac:dyDescent="0.25">
      <c r="A170" s="6" t="s">
        <v>43</v>
      </c>
      <c r="B170" t="s">
        <v>43</v>
      </c>
      <c r="C170" t="s">
        <v>48</v>
      </c>
      <c r="D170" t="s">
        <v>49</v>
      </c>
    </row>
    <row r="171" spans="1:19" x14ac:dyDescent="0.25">
      <c r="A171" s="6" t="s">
        <v>43</v>
      </c>
      <c r="B171" t="s">
        <v>43</v>
      </c>
      <c r="C171" t="s">
        <v>50</v>
      </c>
      <c r="D171" t="s">
        <v>51</v>
      </c>
    </row>
    <row r="172" spans="1:19" x14ac:dyDescent="0.25">
      <c r="A172" s="6" t="s">
        <v>43</v>
      </c>
      <c r="B172" t="s">
        <v>43</v>
      </c>
      <c r="C172" t="s">
        <v>52</v>
      </c>
      <c r="D172" t="s">
        <v>53</v>
      </c>
    </row>
    <row r="173" spans="1:19" x14ac:dyDescent="0.25">
      <c r="A173" s="6" t="s">
        <v>43</v>
      </c>
      <c r="B173" t="s">
        <v>43</v>
      </c>
      <c r="C173" t="s">
        <v>54</v>
      </c>
      <c r="D173" t="s">
        <v>55</v>
      </c>
    </row>
    <row r="174" spans="1:19" x14ac:dyDescent="0.25">
      <c r="A174" s="6" t="s">
        <v>43</v>
      </c>
      <c r="B174" t="s">
        <v>43</v>
      </c>
      <c r="C174" t="s">
        <v>56</v>
      </c>
      <c r="D174" t="s">
        <v>57</v>
      </c>
      <c r="E174" t="s">
        <v>146</v>
      </c>
      <c r="F174">
        <v>255</v>
      </c>
      <c r="G174" t="s">
        <v>95</v>
      </c>
      <c r="H174" t="s">
        <v>96</v>
      </c>
      <c r="I174" t="s">
        <v>147</v>
      </c>
      <c r="J174" t="s">
        <v>148</v>
      </c>
      <c r="K174" t="s">
        <v>149</v>
      </c>
      <c r="L174" t="s">
        <v>150</v>
      </c>
      <c r="M174" t="s">
        <v>59</v>
      </c>
      <c r="N174" t="str">
        <f t="shared" ref="N174:N185" si="46">"{"&amp;CHAR(34)&amp;I174&amp;CHAR(34)&amp;" : "&amp;CHAR(34)&amp;C174&amp;CHAR(34)&amp;","</f>
        <v>{"name" : "CENTRAL",</v>
      </c>
      <c r="O174" t="str">
        <f t="shared" ref="O174:O185" si="47">CHAR(34)&amp;J174&amp;CHAR(34)&amp;" : "&amp;CHAR(34)&amp;D174&amp;CHAR(34)&amp;","</f>
        <v>"field" : "central",</v>
      </c>
      <c r="P174" t="str">
        <f t="shared" ref="P174:P185" si="48">CHAR(34)&amp;K174&amp;CHAR(34)&amp;" : "&amp;CHAR(34)&amp;E174&amp;CHAR(34)&amp;","</f>
        <v>"type" : "VarChar",</v>
      </c>
      <c r="Q174" t="str">
        <f t="shared" ref="Q174:Q185" si="49">CHAR(34)&amp;L174&amp;CHAR(34)&amp;" : "&amp;CHAR(34)&amp;F174&amp;CHAR(34)&amp;","</f>
        <v>"size" : "255",</v>
      </c>
      <c r="R174" t="str">
        <f t="shared" ref="R174:R185" si="50">CHAR(34)&amp;M174&amp;CHAR(34)&amp;" : "&amp;CHAR(34)&amp;IF(G174="not","false","true")&amp;CHAR(34)&amp;"},"</f>
        <v>"null" : "false"},</v>
      </c>
      <c r="S174" t="str">
        <f t="shared" ref="S174:S185" si="51">N174&amp;O174&amp;P174&amp;Q174&amp;R174</f>
        <v>{"name" : "CENTRAL","field" : "central","type" : "VarChar","size" : "255","null" : "false"},</v>
      </c>
    </row>
    <row r="175" spans="1:19" x14ac:dyDescent="0.25">
      <c r="A175" s="6" t="s">
        <v>43</v>
      </c>
      <c r="B175" t="s">
        <v>43</v>
      </c>
      <c r="C175" t="s">
        <v>68</v>
      </c>
      <c r="D175" t="s">
        <v>69</v>
      </c>
      <c r="E175" t="s">
        <v>146</v>
      </c>
      <c r="F175">
        <v>255</v>
      </c>
      <c r="I175" t="s">
        <v>147</v>
      </c>
      <c r="J175" t="s">
        <v>148</v>
      </c>
      <c r="K175" t="s">
        <v>149</v>
      </c>
      <c r="L175" t="s">
        <v>150</v>
      </c>
      <c r="M175" t="s">
        <v>59</v>
      </c>
      <c r="N175" t="str">
        <f t="shared" si="46"/>
        <v>{"name" : "SOLICITANTE",</v>
      </c>
      <c r="O175" t="str">
        <f t="shared" si="47"/>
        <v>"field" : "solicitante",</v>
      </c>
      <c r="P175" t="str">
        <f t="shared" si="48"/>
        <v>"type" : "VarChar",</v>
      </c>
      <c r="Q175" t="str">
        <f t="shared" si="49"/>
        <v>"size" : "255",</v>
      </c>
      <c r="R175" t="str">
        <f t="shared" si="50"/>
        <v>"null" : "true"},</v>
      </c>
      <c r="S175" t="str">
        <f t="shared" si="51"/>
        <v>{"name" : "SOLICITANTE","field" : "solicitante","type" : "VarChar","size" : "255","null" : "true"},</v>
      </c>
    </row>
    <row r="176" spans="1:19" x14ac:dyDescent="0.25">
      <c r="A176" s="6" t="s">
        <v>43</v>
      </c>
      <c r="B176" t="s">
        <v>43</v>
      </c>
      <c r="C176" t="s">
        <v>60</v>
      </c>
      <c r="D176" t="s">
        <v>61</v>
      </c>
      <c r="E176" t="s">
        <v>146</v>
      </c>
      <c r="F176">
        <v>255</v>
      </c>
      <c r="I176" t="s">
        <v>147</v>
      </c>
      <c r="J176" t="s">
        <v>148</v>
      </c>
      <c r="K176" t="s">
        <v>149</v>
      </c>
      <c r="L176" t="s">
        <v>150</v>
      </c>
      <c r="M176" t="s">
        <v>59</v>
      </c>
      <c r="N176" t="str">
        <f t="shared" si="46"/>
        <v>{"name" : "FICHA",</v>
      </c>
      <c r="O176" t="str">
        <f t="shared" si="47"/>
        <v>"field" : "ficha",</v>
      </c>
      <c r="P176" t="str">
        <f t="shared" si="48"/>
        <v>"type" : "VarChar",</v>
      </c>
      <c r="Q176" t="str">
        <f t="shared" si="49"/>
        <v>"size" : "255",</v>
      </c>
      <c r="R176" t="str">
        <f t="shared" si="50"/>
        <v>"null" : "true"},</v>
      </c>
      <c r="S176" t="str">
        <f t="shared" si="51"/>
        <v>{"name" : "FICHA","field" : "ficha","type" : "VarChar","size" : "255","null" : "true"},</v>
      </c>
    </row>
    <row r="177" spans="1:19" x14ac:dyDescent="0.25">
      <c r="A177" s="6" t="s">
        <v>43</v>
      </c>
      <c r="B177" t="s">
        <v>43</v>
      </c>
      <c r="C177" t="s">
        <v>64</v>
      </c>
      <c r="D177" t="s">
        <v>65</v>
      </c>
      <c r="E177" t="s">
        <v>146</v>
      </c>
      <c r="F177">
        <v>255</v>
      </c>
      <c r="I177" t="s">
        <v>147</v>
      </c>
      <c r="J177" t="s">
        <v>148</v>
      </c>
      <c r="K177" t="s">
        <v>149</v>
      </c>
      <c r="L177" t="s">
        <v>150</v>
      </c>
      <c r="M177" t="s">
        <v>59</v>
      </c>
      <c r="N177" t="str">
        <f t="shared" si="46"/>
        <v>{"name" : "ESPECIALIDADE",</v>
      </c>
      <c r="O177" t="str">
        <f t="shared" si="47"/>
        <v>"field" : "especialidade",</v>
      </c>
      <c r="P177" t="str">
        <f t="shared" si="48"/>
        <v>"type" : "VarChar",</v>
      </c>
      <c r="Q177" t="str">
        <f t="shared" si="49"/>
        <v>"size" : "255",</v>
      </c>
      <c r="R177" t="str">
        <f t="shared" si="50"/>
        <v>"null" : "true"},</v>
      </c>
      <c r="S177" t="str">
        <f t="shared" si="51"/>
        <v>{"name" : "ESPECIALIDADE","field" : "especialidade","type" : "VarChar","size" : "255","null" : "true"},</v>
      </c>
    </row>
    <row r="178" spans="1:19" x14ac:dyDescent="0.25">
      <c r="A178" s="6" t="s">
        <v>43</v>
      </c>
      <c r="B178" t="s">
        <v>43</v>
      </c>
      <c r="C178" t="s">
        <v>62</v>
      </c>
      <c r="D178" t="s">
        <v>63</v>
      </c>
      <c r="E178" t="s">
        <v>146</v>
      </c>
      <c r="F178">
        <v>255</v>
      </c>
      <c r="I178" t="s">
        <v>147</v>
      </c>
      <c r="J178" t="s">
        <v>148</v>
      </c>
      <c r="K178" t="s">
        <v>149</v>
      </c>
      <c r="L178" t="s">
        <v>150</v>
      </c>
      <c r="M178" t="s">
        <v>59</v>
      </c>
      <c r="N178" t="str">
        <f t="shared" si="46"/>
        <v>{"name" : "SOLICITACAO",</v>
      </c>
      <c r="O178" t="str">
        <f t="shared" si="47"/>
        <v>"field" : "solicitacao",</v>
      </c>
      <c r="P178" t="str">
        <f t="shared" si="48"/>
        <v>"type" : "VarChar",</v>
      </c>
      <c r="Q178" t="str">
        <f t="shared" si="49"/>
        <v>"size" : "255",</v>
      </c>
      <c r="R178" t="str">
        <f t="shared" si="50"/>
        <v>"null" : "true"},</v>
      </c>
      <c r="S178" t="str">
        <f t="shared" si="51"/>
        <v>{"name" : "SOLICITACAO","field" : "solicitacao","type" : "VarChar","size" : "255","null" : "true"},</v>
      </c>
    </row>
    <row r="179" spans="1:19" x14ac:dyDescent="0.25">
      <c r="A179" s="6" t="s">
        <v>43</v>
      </c>
      <c r="B179" t="s">
        <v>43</v>
      </c>
      <c r="C179" t="s">
        <v>109</v>
      </c>
      <c r="D179" t="s">
        <v>110</v>
      </c>
      <c r="E179" t="s">
        <v>146</v>
      </c>
      <c r="F179">
        <v>255</v>
      </c>
      <c r="I179" t="s">
        <v>147</v>
      </c>
      <c r="J179" t="s">
        <v>148</v>
      </c>
      <c r="K179" t="s">
        <v>149</v>
      </c>
      <c r="L179" t="s">
        <v>150</v>
      </c>
      <c r="M179" t="s">
        <v>59</v>
      </c>
      <c r="N179" t="str">
        <f t="shared" si="46"/>
        <v>{"name" : "MUNICIPIO",</v>
      </c>
      <c r="O179" t="str">
        <f t="shared" si="47"/>
        <v>"field" : "municipio",</v>
      </c>
      <c r="P179" t="str">
        <f t="shared" si="48"/>
        <v>"type" : "VarChar",</v>
      </c>
      <c r="Q179" t="str">
        <f t="shared" si="49"/>
        <v>"size" : "255",</v>
      </c>
      <c r="R179" t="str">
        <f t="shared" si="50"/>
        <v>"null" : "true"},</v>
      </c>
      <c r="S179" t="str">
        <f t="shared" si="51"/>
        <v>{"name" : "MUNICIPIO","field" : "municipio","type" : "VarChar","size" : "255","null" : "true"},</v>
      </c>
    </row>
    <row r="180" spans="1:19" x14ac:dyDescent="0.25">
      <c r="A180" s="6" t="s">
        <v>43</v>
      </c>
      <c r="B180" t="s">
        <v>43</v>
      </c>
      <c r="C180" t="s">
        <v>82</v>
      </c>
      <c r="D180" t="s">
        <v>83</v>
      </c>
      <c r="E180" t="s">
        <v>146</v>
      </c>
      <c r="F180">
        <v>255</v>
      </c>
      <c r="I180" t="s">
        <v>147</v>
      </c>
      <c r="J180" t="s">
        <v>148</v>
      </c>
      <c r="K180" t="s">
        <v>149</v>
      </c>
      <c r="L180" t="s">
        <v>150</v>
      </c>
      <c r="M180" t="s">
        <v>59</v>
      </c>
      <c r="N180" t="str">
        <f t="shared" si="46"/>
        <v>{"name" : "TIPO_BUSCA",</v>
      </c>
      <c r="O180" t="str">
        <f t="shared" si="47"/>
        <v>"field" : "tipoBusca",</v>
      </c>
      <c r="P180" t="str">
        <f t="shared" si="48"/>
        <v>"type" : "VarChar",</v>
      </c>
      <c r="Q180" t="str">
        <f t="shared" si="49"/>
        <v>"size" : "255",</v>
      </c>
      <c r="R180" t="str">
        <f t="shared" si="50"/>
        <v>"null" : "true"},</v>
      </c>
      <c r="S180" t="str">
        <f t="shared" si="51"/>
        <v>{"name" : "TIPO_BUSCA","field" : "tipoBusca","type" : "VarChar","size" : "255","null" : "true"},</v>
      </c>
    </row>
    <row r="181" spans="1:19" x14ac:dyDescent="0.25">
      <c r="A181" s="6" t="s">
        <v>43</v>
      </c>
      <c r="B181" t="s">
        <v>43</v>
      </c>
      <c r="C181" t="s">
        <v>90</v>
      </c>
      <c r="D181" t="s">
        <v>91</v>
      </c>
      <c r="E181" t="s">
        <v>146</v>
      </c>
      <c r="F181">
        <v>255</v>
      </c>
      <c r="I181" t="s">
        <v>147</v>
      </c>
      <c r="J181" t="s">
        <v>148</v>
      </c>
      <c r="K181" t="s">
        <v>149</v>
      </c>
      <c r="L181" t="s">
        <v>150</v>
      </c>
      <c r="M181" t="s">
        <v>59</v>
      </c>
      <c r="N181" t="str">
        <f t="shared" si="46"/>
        <v>{"name" : "TIPO_MARCACAO",</v>
      </c>
      <c r="O181" t="str">
        <f t="shared" si="47"/>
        <v>"field" : "tipoMarcacao",</v>
      </c>
      <c r="P181" t="str">
        <f t="shared" si="48"/>
        <v>"type" : "VarChar",</v>
      </c>
      <c r="Q181" t="str">
        <f t="shared" si="49"/>
        <v>"size" : "255",</v>
      </c>
      <c r="R181" t="str">
        <f t="shared" si="50"/>
        <v>"null" : "true"},</v>
      </c>
      <c r="S181" t="str">
        <f t="shared" si="51"/>
        <v>{"name" : "TIPO_MARCACAO","field" : "tipoMarcacao","type" : "VarChar","size" : "255","null" : "true"},</v>
      </c>
    </row>
    <row r="182" spans="1:19" x14ac:dyDescent="0.25">
      <c r="A182" s="6" t="s">
        <v>43</v>
      </c>
      <c r="B182" t="s">
        <v>43</v>
      </c>
      <c r="C182" t="s">
        <v>111</v>
      </c>
      <c r="D182" t="s">
        <v>112</v>
      </c>
      <c r="E182" t="s">
        <v>146</v>
      </c>
      <c r="F182">
        <v>255</v>
      </c>
      <c r="I182" t="s">
        <v>147</v>
      </c>
      <c r="J182" t="s">
        <v>148</v>
      </c>
      <c r="K182" t="s">
        <v>149</v>
      </c>
      <c r="L182" t="s">
        <v>150</v>
      </c>
      <c r="M182" t="s">
        <v>59</v>
      </c>
      <c r="N182" t="str">
        <f t="shared" si="46"/>
        <v>{"name" : "SITUACAO",</v>
      </c>
      <c r="O182" t="str">
        <f t="shared" si="47"/>
        <v>"field" : "situacao",</v>
      </c>
      <c r="P182" t="str">
        <f t="shared" si="48"/>
        <v>"type" : "VarChar",</v>
      </c>
      <c r="Q182" t="str">
        <f t="shared" si="49"/>
        <v>"size" : "255",</v>
      </c>
      <c r="R182" t="str">
        <f t="shared" si="50"/>
        <v>"null" : "true"},</v>
      </c>
      <c r="S182" t="str">
        <f t="shared" si="51"/>
        <v>{"name" : "SITUACAO","field" : "situacao","type" : "VarChar","size" : "255","null" : "true"},</v>
      </c>
    </row>
    <row r="183" spans="1:19" x14ac:dyDescent="0.25">
      <c r="A183" s="6" t="s">
        <v>43</v>
      </c>
      <c r="B183" t="s">
        <v>43</v>
      </c>
      <c r="C183" t="s">
        <v>80</v>
      </c>
      <c r="D183" t="s">
        <v>81</v>
      </c>
      <c r="E183" t="s">
        <v>76</v>
      </c>
      <c r="F183">
        <v>10</v>
      </c>
      <c r="I183" t="s">
        <v>147</v>
      </c>
      <c r="J183" t="s">
        <v>148</v>
      </c>
      <c r="K183" t="s">
        <v>149</v>
      </c>
      <c r="L183" t="s">
        <v>150</v>
      </c>
      <c r="M183" t="s">
        <v>59</v>
      </c>
      <c r="N183" t="str">
        <f t="shared" si="46"/>
        <v>{"name" : "DATA_RETORNO_OBRIGATORIO",</v>
      </c>
      <c r="O183" t="str">
        <f t="shared" si="47"/>
        <v>"field" : "dataRetornoObrigatorio",</v>
      </c>
      <c r="P183" t="str">
        <f t="shared" si="48"/>
        <v>"type" : "Date",</v>
      </c>
      <c r="Q183" t="str">
        <f t="shared" si="49"/>
        <v>"size" : "10",</v>
      </c>
      <c r="R183" t="str">
        <f t="shared" si="50"/>
        <v>"null" : "true"},</v>
      </c>
      <c r="S183" t="str">
        <f t="shared" si="51"/>
        <v>{"name" : "DATA_RETORNO_OBRIGATORIO","field" : "dataRetornoObrigatorio","type" : "Date","size" : "10","null" : "true"},</v>
      </c>
    </row>
    <row r="184" spans="1:19" x14ac:dyDescent="0.25">
      <c r="A184" s="6" t="s">
        <v>43</v>
      </c>
      <c r="B184" t="s">
        <v>43</v>
      </c>
      <c r="C184" t="s">
        <v>88</v>
      </c>
      <c r="D184" t="s">
        <v>89</v>
      </c>
      <c r="E184" t="s">
        <v>146</v>
      </c>
      <c r="F184">
        <v>255</v>
      </c>
      <c r="I184" t="s">
        <v>147</v>
      </c>
      <c r="J184" t="s">
        <v>148</v>
      </c>
      <c r="K184" t="s">
        <v>149</v>
      </c>
      <c r="L184" t="s">
        <v>150</v>
      </c>
      <c r="M184" t="s">
        <v>59</v>
      </c>
      <c r="N184" t="str">
        <f t="shared" si="46"/>
        <v>{"name" : "UNIDADE_REQUERIDA",</v>
      </c>
      <c r="O184" t="str">
        <f t="shared" si="47"/>
        <v>"field" : "unidadeRequerida",</v>
      </c>
      <c r="P184" t="str">
        <f t="shared" si="48"/>
        <v>"type" : "VarChar",</v>
      </c>
      <c r="Q184" t="str">
        <f t="shared" si="49"/>
        <v>"size" : "255",</v>
      </c>
      <c r="R184" t="str">
        <f t="shared" si="50"/>
        <v>"null" : "true"},</v>
      </c>
      <c r="S184" t="str">
        <f t="shared" si="51"/>
        <v>{"name" : "UNIDADE_REQUERIDA","field" : "unidadeRequerida","type" : "VarChar","size" : "255","null" : "true"},</v>
      </c>
    </row>
    <row r="185" spans="1:19" x14ac:dyDescent="0.25">
      <c r="A185" s="6" t="s">
        <v>43</v>
      </c>
      <c r="B185" t="s">
        <v>43</v>
      </c>
      <c r="C185" t="s">
        <v>86</v>
      </c>
      <c r="D185" t="s">
        <v>87</v>
      </c>
      <c r="E185" t="s">
        <v>146</v>
      </c>
      <c r="F185">
        <v>255</v>
      </c>
      <c r="I185" t="s">
        <v>147</v>
      </c>
      <c r="J185" t="s">
        <v>148</v>
      </c>
      <c r="K185" t="s">
        <v>149</v>
      </c>
      <c r="L185" t="s">
        <v>150</v>
      </c>
      <c r="M185" t="s">
        <v>59</v>
      </c>
      <c r="N185" t="str">
        <f t="shared" si="46"/>
        <v>{"name" : "MEDICO_REQUERIDO",</v>
      </c>
      <c r="O185" t="str">
        <f t="shared" si="47"/>
        <v>"field" : "medicoRequerido",</v>
      </c>
      <c r="P185" t="str">
        <f t="shared" si="48"/>
        <v>"type" : "VarChar",</v>
      </c>
      <c r="Q185" t="str">
        <f t="shared" si="49"/>
        <v>"size" : "255",</v>
      </c>
      <c r="R185" t="str">
        <f t="shared" si="50"/>
        <v>"null" : "true"},</v>
      </c>
      <c r="S185" t="str">
        <f t="shared" si="51"/>
        <v>{"name" : "MEDICO_REQUERIDO","field" : "medicoRequerido","type" : "VarChar","size" : "255","null" : "true"},</v>
      </c>
    </row>
    <row r="186" spans="1:19" x14ac:dyDescent="0.25">
      <c r="A186" s="7"/>
    </row>
    <row r="187" spans="1:19" x14ac:dyDescent="0.25">
      <c r="A187" s="6" t="s">
        <v>39</v>
      </c>
    </row>
    <row r="188" spans="1:19" x14ac:dyDescent="0.25">
      <c r="A188" s="6" t="s">
        <v>43</v>
      </c>
      <c r="B188" t="s">
        <v>43</v>
      </c>
      <c r="C188" t="s">
        <v>44</v>
      </c>
      <c r="D188" t="s">
        <v>129</v>
      </c>
    </row>
    <row r="189" spans="1:19" x14ac:dyDescent="0.25">
      <c r="A189" s="6" t="s">
        <v>43</v>
      </c>
      <c r="B189" t="s">
        <v>43</v>
      </c>
      <c r="C189" t="s">
        <v>46</v>
      </c>
      <c r="D189" t="s">
        <v>47</v>
      </c>
    </row>
    <row r="190" spans="1:19" x14ac:dyDescent="0.25">
      <c r="A190" s="6" t="s">
        <v>43</v>
      </c>
      <c r="B190" t="s">
        <v>43</v>
      </c>
      <c r="C190" t="s">
        <v>48</v>
      </c>
      <c r="D190" t="s">
        <v>49</v>
      </c>
    </row>
    <row r="191" spans="1:19" x14ac:dyDescent="0.25">
      <c r="A191" s="6" t="s">
        <v>43</v>
      </c>
      <c r="B191" t="s">
        <v>43</v>
      </c>
      <c r="C191" t="s">
        <v>50</v>
      </c>
      <c r="D191" t="s">
        <v>51</v>
      </c>
    </row>
    <row r="192" spans="1:19" x14ac:dyDescent="0.25">
      <c r="A192" s="6" t="s">
        <v>43</v>
      </c>
      <c r="B192" t="s">
        <v>43</v>
      </c>
      <c r="C192" t="s">
        <v>52</v>
      </c>
      <c r="D192" t="s">
        <v>53</v>
      </c>
    </row>
    <row r="193" spans="1:19" x14ac:dyDescent="0.25">
      <c r="A193" s="6" t="s">
        <v>43</v>
      </c>
      <c r="B193" t="s">
        <v>43</v>
      </c>
      <c r="C193" t="s">
        <v>54</v>
      </c>
      <c r="D193" t="s">
        <v>55</v>
      </c>
    </row>
    <row r="194" spans="1:19" x14ac:dyDescent="0.25">
      <c r="A194" s="6" t="s">
        <v>43</v>
      </c>
      <c r="B194" t="s">
        <v>43</v>
      </c>
      <c r="C194" t="s">
        <v>56</v>
      </c>
      <c r="D194" t="s">
        <v>57</v>
      </c>
      <c r="E194" t="s">
        <v>146</v>
      </c>
      <c r="F194">
        <v>255</v>
      </c>
      <c r="G194" t="s">
        <v>95</v>
      </c>
      <c r="H194" t="s">
        <v>96</v>
      </c>
      <c r="I194" t="s">
        <v>147</v>
      </c>
      <c r="J194" t="s">
        <v>148</v>
      </c>
      <c r="K194" t="s">
        <v>149</v>
      </c>
      <c r="L194" t="s">
        <v>150</v>
      </c>
      <c r="M194" t="s">
        <v>59</v>
      </c>
      <c r="N194" t="str">
        <f t="shared" ref="N194:N205" si="52">"{"&amp;CHAR(34)&amp;I194&amp;CHAR(34)&amp;" : "&amp;CHAR(34)&amp;C194&amp;CHAR(34)&amp;","</f>
        <v>{"name" : "CENTRAL",</v>
      </c>
      <c r="O194" t="str">
        <f t="shared" ref="O194:O205" si="53">CHAR(34)&amp;J194&amp;CHAR(34)&amp;" : "&amp;CHAR(34)&amp;D194&amp;CHAR(34)&amp;","</f>
        <v>"field" : "central",</v>
      </c>
      <c r="P194" t="str">
        <f t="shared" ref="P194:P205" si="54">CHAR(34)&amp;K194&amp;CHAR(34)&amp;" : "&amp;CHAR(34)&amp;E194&amp;CHAR(34)&amp;","</f>
        <v>"type" : "VarChar",</v>
      </c>
      <c r="Q194" t="str">
        <f t="shared" ref="Q194:Q205" si="55">CHAR(34)&amp;L194&amp;CHAR(34)&amp;" : "&amp;CHAR(34)&amp;F194&amp;CHAR(34)&amp;","</f>
        <v>"size" : "255",</v>
      </c>
      <c r="R194" t="str">
        <f t="shared" ref="R194:R205" si="56">CHAR(34)&amp;M194&amp;CHAR(34)&amp;" : "&amp;CHAR(34)&amp;IF(G194="not","false","true")&amp;CHAR(34)&amp;"},"</f>
        <v>"null" : "false"},</v>
      </c>
      <c r="S194" t="str">
        <f t="shared" ref="S194:S205" si="57">N194&amp;O194&amp;P194&amp;Q194&amp;R194</f>
        <v>{"name" : "CENTRAL","field" : "central","type" : "VarChar","size" : "255","null" : "false"},</v>
      </c>
    </row>
    <row r="195" spans="1:19" x14ac:dyDescent="0.25">
      <c r="A195" s="6" t="s">
        <v>43</v>
      </c>
      <c r="B195" t="s">
        <v>43</v>
      </c>
      <c r="C195" t="s">
        <v>68</v>
      </c>
      <c r="D195" t="s">
        <v>69</v>
      </c>
      <c r="E195" t="s">
        <v>146</v>
      </c>
      <c r="F195">
        <v>255</v>
      </c>
      <c r="I195" t="s">
        <v>147</v>
      </c>
      <c r="J195" t="s">
        <v>148</v>
      </c>
      <c r="K195" t="s">
        <v>149</v>
      </c>
      <c r="L195" t="s">
        <v>150</v>
      </c>
      <c r="M195" t="s">
        <v>59</v>
      </c>
      <c r="N195" t="str">
        <f t="shared" si="52"/>
        <v>{"name" : "SOLICITANTE",</v>
      </c>
      <c r="O195" t="str">
        <f t="shared" si="53"/>
        <v>"field" : "solicitante",</v>
      </c>
      <c r="P195" t="str">
        <f t="shared" si="54"/>
        <v>"type" : "VarChar",</v>
      </c>
      <c r="Q195" t="str">
        <f t="shared" si="55"/>
        <v>"size" : "255",</v>
      </c>
      <c r="R195" t="str">
        <f t="shared" si="56"/>
        <v>"null" : "true"},</v>
      </c>
      <c r="S195" t="str">
        <f t="shared" si="57"/>
        <v>{"name" : "SOLICITANTE","field" : "solicitante","type" : "VarChar","size" : "255","null" : "true"},</v>
      </c>
    </row>
    <row r="196" spans="1:19" x14ac:dyDescent="0.25">
      <c r="A196" s="6" t="s">
        <v>43</v>
      </c>
      <c r="B196" t="s">
        <v>43</v>
      </c>
      <c r="C196" t="s">
        <v>60</v>
      </c>
      <c r="D196" t="s">
        <v>61</v>
      </c>
      <c r="E196" t="s">
        <v>146</v>
      </c>
      <c r="F196">
        <v>255</v>
      </c>
      <c r="I196" t="s">
        <v>147</v>
      </c>
      <c r="J196" t="s">
        <v>148</v>
      </c>
      <c r="K196" t="s">
        <v>149</v>
      </c>
      <c r="L196" t="s">
        <v>150</v>
      </c>
      <c r="M196" t="s">
        <v>59</v>
      </c>
      <c r="N196" t="str">
        <f t="shared" si="52"/>
        <v>{"name" : "FICHA",</v>
      </c>
      <c r="O196" t="str">
        <f t="shared" si="53"/>
        <v>"field" : "ficha",</v>
      </c>
      <c r="P196" t="str">
        <f t="shared" si="54"/>
        <v>"type" : "VarChar",</v>
      </c>
      <c r="Q196" t="str">
        <f t="shared" si="55"/>
        <v>"size" : "255",</v>
      </c>
      <c r="R196" t="str">
        <f t="shared" si="56"/>
        <v>"null" : "true"},</v>
      </c>
      <c r="S196" t="str">
        <f t="shared" si="57"/>
        <v>{"name" : "FICHA","field" : "ficha","type" : "VarChar","size" : "255","null" : "true"},</v>
      </c>
    </row>
    <row r="197" spans="1:19" x14ac:dyDescent="0.25">
      <c r="A197" s="6" t="s">
        <v>43</v>
      </c>
      <c r="B197" t="s">
        <v>43</v>
      </c>
      <c r="C197" t="s">
        <v>64</v>
      </c>
      <c r="D197" t="s">
        <v>65</v>
      </c>
      <c r="E197" t="s">
        <v>146</v>
      </c>
      <c r="F197">
        <v>255</v>
      </c>
      <c r="I197" t="s">
        <v>147</v>
      </c>
      <c r="J197" t="s">
        <v>148</v>
      </c>
      <c r="K197" t="s">
        <v>149</v>
      </c>
      <c r="L197" t="s">
        <v>150</v>
      </c>
      <c r="M197" t="s">
        <v>59</v>
      </c>
      <c r="N197" t="str">
        <f t="shared" si="52"/>
        <v>{"name" : "ESPECIALIDADE",</v>
      </c>
      <c r="O197" t="str">
        <f t="shared" si="53"/>
        <v>"field" : "especialidade",</v>
      </c>
      <c r="P197" t="str">
        <f t="shared" si="54"/>
        <v>"type" : "VarChar",</v>
      </c>
      <c r="Q197" t="str">
        <f t="shared" si="55"/>
        <v>"size" : "255",</v>
      </c>
      <c r="R197" t="str">
        <f t="shared" si="56"/>
        <v>"null" : "true"},</v>
      </c>
      <c r="S197" t="str">
        <f t="shared" si="57"/>
        <v>{"name" : "ESPECIALIDADE","field" : "especialidade","type" : "VarChar","size" : "255","null" : "true"},</v>
      </c>
    </row>
    <row r="198" spans="1:19" x14ac:dyDescent="0.25">
      <c r="A198" s="6" t="s">
        <v>43</v>
      </c>
      <c r="B198" t="s">
        <v>43</v>
      </c>
      <c r="C198" t="s">
        <v>62</v>
      </c>
      <c r="D198" t="s">
        <v>63</v>
      </c>
      <c r="E198" t="s">
        <v>146</v>
      </c>
      <c r="F198">
        <v>255</v>
      </c>
      <c r="I198" t="s">
        <v>147</v>
      </c>
      <c r="J198" t="s">
        <v>148</v>
      </c>
      <c r="K198" t="s">
        <v>149</v>
      </c>
      <c r="L198" t="s">
        <v>150</v>
      </c>
      <c r="M198" t="s">
        <v>59</v>
      </c>
      <c r="N198" t="str">
        <f t="shared" si="52"/>
        <v>{"name" : "SOLICITACAO",</v>
      </c>
      <c r="O198" t="str">
        <f t="shared" si="53"/>
        <v>"field" : "solicitacao",</v>
      </c>
      <c r="P198" t="str">
        <f t="shared" si="54"/>
        <v>"type" : "VarChar",</v>
      </c>
      <c r="Q198" t="str">
        <f t="shared" si="55"/>
        <v>"size" : "255",</v>
      </c>
      <c r="R198" t="str">
        <f t="shared" si="56"/>
        <v>"null" : "true"},</v>
      </c>
      <c r="S198" t="str">
        <f t="shared" si="57"/>
        <v>{"name" : "SOLICITACAO","field" : "solicitacao","type" : "VarChar","size" : "255","null" : "true"},</v>
      </c>
    </row>
    <row r="199" spans="1:19" x14ac:dyDescent="0.25">
      <c r="A199" s="6" t="s">
        <v>43</v>
      </c>
      <c r="B199" t="s">
        <v>43</v>
      </c>
      <c r="C199" t="s">
        <v>109</v>
      </c>
      <c r="D199" t="s">
        <v>110</v>
      </c>
      <c r="E199" t="s">
        <v>146</v>
      </c>
      <c r="F199">
        <v>255</v>
      </c>
      <c r="I199" t="s">
        <v>147</v>
      </c>
      <c r="J199" t="s">
        <v>148</v>
      </c>
      <c r="K199" t="s">
        <v>149</v>
      </c>
      <c r="L199" t="s">
        <v>150</v>
      </c>
      <c r="M199" t="s">
        <v>59</v>
      </c>
      <c r="N199" t="str">
        <f t="shared" si="52"/>
        <v>{"name" : "MUNICIPIO",</v>
      </c>
      <c r="O199" t="str">
        <f t="shared" si="53"/>
        <v>"field" : "municipio",</v>
      </c>
      <c r="P199" t="str">
        <f t="shared" si="54"/>
        <v>"type" : "VarChar",</v>
      </c>
      <c r="Q199" t="str">
        <f t="shared" si="55"/>
        <v>"size" : "255",</v>
      </c>
      <c r="R199" t="str">
        <f t="shared" si="56"/>
        <v>"null" : "true"},</v>
      </c>
      <c r="S199" t="str">
        <f t="shared" si="57"/>
        <v>{"name" : "MUNICIPIO","field" : "municipio","type" : "VarChar","size" : "255","null" : "true"},</v>
      </c>
    </row>
    <row r="200" spans="1:19" x14ac:dyDescent="0.25">
      <c r="A200" s="6" t="s">
        <v>43</v>
      </c>
      <c r="B200" t="s">
        <v>43</v>
      </c>
      <c r="C200" t="s">
        <v>82</v>
      </c>
      <c r="D200" t="s">
        <v>83</v>
      </c>
      <c r="E200" t="s">
        <v>146</v>
      </c>
      <c r="F200">
        <v>255</v>
      </c>
      <c r="I200" t="s">
        <v>147</v>
      </c>
      <c r="J200" t="s">
        <v>148</v>
      </c>
      <c r="K200" t="s">
        <v>149</v>
      </c>
      <c r="L200" t="s">
        <v>150</v>
      </c>
      <c r="M200" t="s">
        <v>59</v>
      </c>
      <c r="N200" t="str">
        <f t="shared" si="52"/>
        <v>{"name" : "TIPO_BUSCA",</v>
      </c>
      <c r="O200" t="str">
        <f t="shared" si="53"/>
        <v>"field" : "tipoBusca",</v>
      </c>
      <c r="P200" t="str">
        <f t="shared" si="54"/>
        <v>"type" : "VarChar",</v>
      </c>
      <c r="Q200" t="str">
        <f t="shared" si="55"/>
        <v>"size" : "255",</v>
      </c>
      <c r="R200" t="str">
        <f t="shared" si="56"/>
        <v>"null" : "true"},</v>
      </c>
      <c r="S200" t="str">
        <f t="shared" si="57"/>
        <v>{"name" : "TIPO_BUSCA","field" : "tipoBusca","type" : "VarChar","size" : "255","null" : "true"},</v>
      </c>
    </row>
    <row r="201" spans="1:19" x14ac:dyDescent="0.25">
      <c r="A201" s="6" t="s">
        <v>43</v>
      </c>
      <c r="B201" t="s">
        <v>43</v>
      </c>
      <c r="C201" t="s">
        <v>90</v>
      </c>
      <c r="D201" t="s">
        <v>91</v>
      </c>
      <c r="E201" t="s">
        <v>146</v>
      </c>
      <c r="F201">
        <v>255</v>
      </c>
      <c r="I201" t="s">
        <v>147</v>
      </c>
      <c r="J201" t="s">
        <v>148</v>
      </c>
      <c r="K201" t="s">
        <v>149</v>
      </c>
      <c r="L201" t="s">
        <v>150</v>
      </c>
      <c r="M201" t="s">
        <v>59</v>
      </c>
      <c r="N201" t="str">
        <f t="shared" si="52"/>
        <v>{"name" : "TIPO_MARCACAO",</v>
      </c>
      <c r="O201" t="str">
        <f t="shared" si="53"/>
        <v>"field" : "tipoMarcacao",</v>
      </c>
      <c r="P201" t="str">
        <f t="shared" si="54"/>
        <v>"type" : "VarChar",</v>
      </c>
      <c r="Q201" t="str">
        <f t="shared" si="55"/>
        <v>"size" : "255",</v>
      </c>
      <c r="R201" t="str">
        <f t="shared" si="56"/>
        <v>"null" : "true"},</v>
      </c>
      <c r="S201" t="str">
        <f t="shared" si="57"/>
        <v>{"name" : "TIPO_MARCACAO","field" : "tipoMarcacao","type" : "VarChar","size" : "255","null" : "true"},</v>
      </c>
    </row>
    <row r="202" spans="1:19" x14ac:dyDescent="0.25">
      <c r="A202" s="6" t="s">
        <v>43</v>
      </c>
      <c r="B202" t="s">
        <v>43</v>
      </c>
      <c r="C202" t="s">
        <v>111</v>
      </c>
      <c r="D202" t="s">
        <v>112</v>
      </c>
      <c r="E202" t="s">
        <v>146</v>
      </c>
      <c r="F202">
        <v>255</v>
      </c>
      <c r="I202" t="s">
        <v>147</v>
      </c>
      <c r="J202" t="s">
        <v>148</v>
      </c>
      <c r="K202" t="s">
        <v>149</v>
      </c>
      <c r="L202" t="s">
        <v>150</v>
      </c>
      <c r="M202" t="s">
        <v>59</v>
      </c>
      <c r="N202" t="str">
        <f t="shared" si="52"/>
        <v>{"name" : "SITUACAO",</v>
      </c>
      <c r="O202" t="str">
        <f t="shared" si="53"/>
        <v>"field" : "situacao",</v>
      </c>
      <c r="P202" t="str">
        <f t="shared" si="54"/>
        <v>"type" : "VarChar",</v>
      </c>
      <c r="Q202" t="str">
        <f t="shared" si="55"/>
        <v>"size" : "255",</v>
      </c>
      <c r="R202" t="str">
        <f t="shared" si="56"/>
        <v>"null" : "true"},</v>
      </c>
      <c r="S202" t="str">
        <f t="shared" si="57"/>
        <v>{"name" : "SITUACAO","field" : "situacao","type" : "VarChar","size" : "255","null" : "true"},</v>
      </c>
    </row>
    <row r="203" spans="1:19" x14ac:dyDescent="0.25">
      <c r="A203" s="6" t="s">
        <v>43</v>
      </c>
      <c r="B203" t="s">
        <v>43</v>
      </c>
      <c r="C203" t="s">
        <v>80</v>
      </c>
      <c r="D203" t="s">
        <v>81</v>
      </c>
      <c r="E203" t="s">
        <v>76</v>
      </c>
      <c r="F203">
        <v>10</v>
      </c>
      <c r="I203" t="s">
        <v>147</v>
      </c>
      <c r="J203" t="s">
        <v>148</v>
      </c>
      <c r="K203" t="s">
        <v>149</v>
      </c>
      <c r="L203" t="s">
        <v>150</v>
      </c>
      <c r="M203" t="s">
        <v>59</v>
      </c>
      <c r="N203" t="str">
        <f t="shared" si="52"/>
        <v>{"name" : "DATA_RETORNO_OBRIGATORIO",</v>
      </c>
      <c r="O203" t="str">
        <f t="shared" si="53"/>
        <v>"field" : "dataRetornoObrigatorio",</v>
      </c>
      <c r="P203" t="str">
        <f t="shared" si="54"/>
        <v>"type" : "Date",</v>
      </c>
      <c r="Q203" t="str">
        <f t="shared" si="55"/>
        <v>"size" : "10",</v>
      </c>
      <c r="R203" t="str">
        <f t="shared" si="56"/>
        <v>"null" : "true"},</v>
      </c>
      <c r="S203" t="str">
        <f t="shared" si="57"/>
        <v>{"name" : "DATA_RETORNO_OBRIGATORIO","field" : "dataRetornoObrigatorio","type" : "Date","size" : "10","null" : "true"},</v>
      </c>
    </row>
    <row r="204" spans="1:19" x14ac:dyDescent="0.25">
      <c r="A204" s="6" t="s">
        <v>43</v>
      </c>
      <c r="B204" t="s">
        <v>43</v>
      </c>
      <c r="C204" t="s">
        <v>88</v>
      </c>
      <c r="D204" t="s">
        <v>89</v>
      </c>
      <c r="E204" t="s">
        <v>146</v>
      </c>
      <c r="F204">
        <v>255</v>
      </c>
      <c r="I204" t="s">
        <v>147</v>
      </c>
      <c r="J204" t="s">
        <v>148</v>
      </c>
      <c r="K204" t="s">
        <v>149</v>
      </c>
      <c r="L204" t="s">
        <v>150</v>
      </c>
      <c r="M204" t="s">
        <v>59</v>
      </c>
      <c r="N204" t="str">
        <f t="shared" si="52"/>
        <v>{"name" : "UNIDADE_REQUERIDA",</v>
      </c>
      <c r="O204" t="str">
        <f t="shared" si="53"/>
        <v>"field" : "unidadeRequerida",</v>
      </c>
      <c r="P204" t="str">
        <f t="shared" si="54"/>
        <v>"type" : "VarChar",</v>
      </c>
      <c r="Q204" t="str">
        <f t="shared" si="55"/>
        <v>"size" : "255",</v>
      </c>
      <c r="R204" t="str">
        <f t="shared" si="56"/>
        <v>"null" : "true"},</v>
      </c>
      <c r="S204" t="str">
        <f t="shared" si="57"/>
        <v>{"name" : "UNIDADE_REQUERIDA","field" : "unidadeRequerida","type" : "VarChar","size" : "255","null" : "true"},</v>
      </c>
    </row>
    <row r="205" spans="1:19" x14ac:dyDescent="0.25">
      <c r="A205" s="6" t="s">
        <v>43</v>
      </c>
      <c r="B205" t="s">
        <v>43</v>
      </c>
      <c r="C205" t="s">
        <v>86</v>
      </c>
      <c r="D205" t="s">
        <v>87</v>
      </c>
      <c r="E205" t="s">
        <v>146</v>
      </c>
      <c r="F205">
        <v>255</v>
      </c>
      <c r="I205" t="s">
        <v>147</v>
      </c>
      <c r="J205" t="s">
        <v>148</v>
      </c>
      <c r="K205" t="s">
        <v>149</v>
      </c>
      <c r="L205" t="s">
        <v>150</v>
      </c>
      <c r="M205" t="s">
        <v>59</v>
      </c>
      <c r="N205" t="str">
        <f t="shared" si="52"/>
        <v>{"name" : "MEDICO_REQUERIDO",</v>
      </c>
      <c r="O205" t="str">
        <f t="shared" si="53"/>
        <v>"field" : "medicoRequerido",</v>
      </c>
      <c r="P205" t="str">
        <f t="shared" si="54"/>
        <v>"type" : "VarChar",</v>
      </c>
      <c r="Q205" t="str">
        <f t="shared" si="55"/>
        <v>"size" : "255",</v>
      </c>
      <c r="R205" t="str">
        <f t="shared" si="56"/>
        <v>"null" : "true"},</v>
      </c>
      <c r="S205" t="str">
        <f t="shared" si="57"/>
        <v>{"name" : "MEDICO_REQUERIDO","field" : "medicoRequerido","type" : "VarChar","size" : "255","null" : "true"},</v>
      </c>
    </row>
    <row r="206" spans="1:19" x14ac:dyDescent="0.25">
      <c r="A206" s="7"/>
    </row>
    <row r="207" spans="1:19" x14ac:dyDescent="0.25">
      <c r="A207" s="6" t="s">
        <v>40</v>
      </c>
    </row>
    <row r="208" spans="1:19" x14ac:dyDescent="0.25">
      <c r="A208" s="6" t="s">
        <v>43</v>
      </c>
      <c r="B208" t="s">
        <v>43</v>
      </c>
      <c r="C208" t="s">
        <v>44</v>
      </c>
      <c r="D208" t="s">
        <v>130</v>
      </c>
    </row>
    <row r="209" spans="1:19" x14ac:dyDescent="0.25">
      <c r="A209" s="6" t="s">
        <v>43</v>
      </c>
      <c r="B209" t="s">
        <v>43</v>
      </c>
      <c r="C209" t="s">
        <v>46</v>
      </c>
      <c r="D209" t="s">
        <v>47</v>
      </c>
    </row>
    <row r="210" spans="1:19" x14ac:dyDescent="0.25">
      <c r="A210" s="6" t="s">
        <v>43</v>
      </c>
      <c r="B210" t="s">
        <v>43</v>
      </c>
      <c r="C210" t="s">
        <v>48</v>
      </c>
      <c r="D210" t="s">
        <v>49</v>
      </c>
    </row>
    <row r="211" spans="1:19" x14ac:dyDescent="0.25">
      <c r="A211" s="6" t="s">
        <v>43</v>
      </c>
      <c r="B211" t="s">
        <v>43</v>
      </c>
      <c r="C211" t="s">
        <v>50</v>
      </c>
      <c r="D211" t="s">
        <v>51</v>
      </c>
    </row>
    <row r="212" spans="1:19" x14ac:dyDescent="0.25">
      <c r="A212" s="6" t="s">
        <v>43</v>
      </c>
      <c r="B212" t="s">
        <v>43</v>
      </c>
      <c r="C212" t="s">
        <v>52</v>
      </c>
      <c r="D212" t="s">
        <v>53</v>
      </c>
    </row>
    <row r="213" spans="1:19" x14ac:dyDescent="0.25">
      <c r="A213" s="6" t="s">
        <v>43</v>
      </c>
      <c r="B213" t="s">
        <v>43</v>
      </c>
      <c r="C213" t="s">
        <v>54</v>
      </c>
      <c r="D213" t="s">
        <v>55</v>
      </c>
    </row>
    <row r="214" spans="1:19" x14ac:dyDescent="0.25">
      <c r="A214" s="6" t="s">
        <v>43</v>
      </c>
      <c r="B214" t="s">
        <v>43</v>
      </c>
      <c r="C214" t="s">
        <v>56</v>
      </c>
      <c r="D214" t="s">
        <v>57</v>
      </c>
      <c r="E214" t="s">
        <v>146</v>
      </c>
      <c r="F214">
        <v>255</v>
      </c>
      <c r="G214" t="s">
        <v>95</v>
      </c>
      <c r="H214" t="s">
        <v>96</v>
      </c>
      <c r="I214" t="s">
        <v>147</v>
      </c>
      <c r="J214" t="s">
        <v>148</v>
      </c>
      <c r="K214" t="s">
        <v>149</v>
      </c>
      <c r="L214" t="s">
        <v>150</v>
      </c>
      <c r="M214" t="s">
        <v>59</v>
      </c>
      <c r="N214" t="str">
        <f t="shared" ref="N214:N220" si="58">"{"&amp;CHAR(34)&amp;I214&amp;CHAR(34)&amp;" : "&amp;CHAR(34)&amp;C214&amp;CHAR(34)&amp;","</f>
        <v>{"name" : "CENTRAL",</v>
      </c>
      <c r="O214" t="str">
        <f t="shared" ref="O214:O220" si="59">CHAR(34)&amp;J214&amp;CHAR(34)&amp;" : "&amp;CHAR(34)&amp;D214&amp;CHAR(34)&amp;","</f>
        <v>"field" : "central",</v>
      </c>
      <c r="P214" t="str">
        <f t="shared" ref="P214:P220" si="60">CHAR(34)&amp;K214&amp;CHAR(34)&amp;" : "&amp;CHAR(34)&amp;E214&amp;CHAR(34)&amp;","</f>
        <v>"type" : "VarChar",</v>
      </c>
      <c r="Q214" t="str">
        <f t="shared" ref="Q214:Q220" si="61">CHAR(34)&amp;L214&amp;CHAR(34)&amp;" : "&amp;CHAR(34)&amp;F214&amp;CHAR(34)&amp;","</f>
        <v>"size" : "255",</v>
      </c>
      <c r="R214" t="str">
        <f t="shared" ref="R214:R220" si="62">CHAR(34)&amp;M214&amp;CHAR(34)&amp;" : "&amp;CHAR(34)&amp;IF(G214="not","false","true")&amp;CHAR(34)&amp;"},"</f>
        <v>"null" : "false"},</v>
      </c>
      <c r="S214" t="str">
        <f t="shared" ref="S214:S220" si="63">N214&amp;O214&amp;P214&amp;Q214&amp;R214</f>
        <v>{"name" : "CENTRAL","field" : "central","type" : "VarChar","size" : "255","null" : "false"},</v>
      </c>
    </row>
    <row r="215" spans="1:19" x14ac:dyDescent="0.25">
      <c r="A215" s="6" t="s">
        <v>43</v>
      </c>
      <c r="B215" t="s">
        <v>43</v>
      </c>
      <c r="C215" t="s">
        <v>64</v>
      </c>
      <c r="D215" t="s">
        <v>65</v>
      </c>
      <c r="E215" t="s">
        <v>146</v>
      </c>
      <c r="F215">
        <v>255</v>
      </c>
      <c r="I215" t="s">
        <v>147</v>
      </c>
      <c r="J215" t="s">
        <v>148</v>
      </c>
      <c r="K215" t="s">
        <v>149</v>
      </c>
      <c r="L215" t="s">
        <v>150</v>
      </c>
      <c r="M215" t="s">
        <v>59</v>
      </c>
      <c r="N215" t="str">
        <f t="shared" si="58"/>
        <v>{"name" : "ESPECIALIDADE",</v>
      </c>
      <c r="O215" t="str">
        <f t="shared" si="59"/>
        <v>"field" : "especialidade",</v>
      </c>
      <c r="P215" t="str">
        <f t="shared" si="60"/>
        <v>"type" : "VarChar",</v>
      </c>
      <c r="Q215" t="str">
        <f t="shared" si="61"/>
        <v>"size" : "255",</v>
      </c>
      <c r="R215" t="str">
        <f t="shared" si="62"/>
        <v>"null" : "true"},</v>
      </c>
      <c r="S215" t="str">
        <f t="shared" si="63"/>
        <v>{"name" : "ESPECIALIDADE","field" : "especialidade","type" : "VarChar","size" : "255","null" : "true"},</v>
      </c>
    </row>
    <row r="216" spans="1:19" x14ac:dyDescent="0.25">
      <c r="A216" s="6" t="s">
        <v>43</v>
      </c>
      <c r="B216" t="s">
        <v>43</v>
      </c>
      <c r="C216" t="s">
        <v>131</v>
      </c>
      <c r="D216" t="s">
        <v>71</v>
      </c>
      <c r="E216" t="s">
        <v>146</v>
      </c>
      <c r="F216">
        <v>255</v>
      </c>
      <c r="I216" t="s">
        <v>147</v>
      </c>
      <c r="J216" t="s">
        <v>148</v>
      </c>
      <c r="K216" t="s">
        <v>149</v>
      </c>
      <c r="L216" t="s">
        <v>150</v>
      </c>
      <c r="M216" t="s">
        <v>59</v>
      </c>
      <c r="N216" t="str">
        <f t="shared" si="58"/>
        <v>{"name" : "PRESTADOR",</v>
      </c>
      <c r="O216" t="str">
        <f t="shared" si="59"/>
        <v>"field" : "executante",</v>
      </c>
      <c r="P216" t="str">
        <f t="shared" si="60"/>
        <v>"type" : "VarChar",</v>
      </c>
      <c r="Q216" t="str">
        <f t="shared" si="61"/>
        <v>"size" : "255",</v>
      </c>
      <c r="R216" t="str">
        <f t="shared" si="62"/>
        <v>"null" : "true"},</v>
      </c>
      <c r="S216" t="str">
        <f t="shared" si="63"/>
        <v>{"name" : "PRESTADOR","field" : "executante","type" : "VarChar","size" : "255","null" : "true"},</v>
      </c>
    </row>
    <row r="217" spans="1:19" x14ac:dyDescent="0.25">
      <c r="A217" s="6" t="s">
        <v>43</v>
      </c>
      <c r="B217" t="s">
        <v>43</v>
      </c>
      <c r="C217" t="s">
        <v>72</v>
      </c>
      <c r="D217" t="s">
        <v>73</v>
      </c>
      <c r="E217" t="s">
        <v>146</v>
      </c>
      <c r="F217">
        <v>255</v>
      </c>
      <c r="I217" t="s">
        <v>147</v>
      </c>
      <c r="J217" t="s">
        <v>148</v>
      </c>
      <c r="K217" t="s">
        <v>149</v>
      </c>
      <c r="L217" t="s">
        <v>150</v>
      </c>
      <c r="M217" t="s">
        <v>59</v>
      </c>
      <c r="N217" t="str">
        <f t="shared" si="58"/>
        <v>{"name" : "MEDICO",</v>
      </c>
      <c r="O217" t="str">
        <f t="shared" si="59"/>
        <v>"field" : "medico",</v>
      </c>
      <c r="P217" t="str">
        <f t="shared" si="60"/>
        <v>"type" : "VarChar",</v>
      </c>
      <c r="Q217" t="str">
        <f t="shared" si="61"/>
        <v>"size" : "255",</v>
      </c>
      <c r="R217" t="str">
        <f t="shared" si="62"/>
        <v>"null" : "true"},</v>
      </c>
      <c r="S217" t="str">
        <f t="shared" si="63"/>
        <v>{"name" : "MEDICO","field" : "medico","type" : "VarChar","size" : "255","null" : "true"},</v>
      </c>
    </row>
    <row r="218" spans="1:19" x14ac:dyDescent="0.25">
      <c r="A218" s="6" t="s">
        <v>43</v>
      </c>
      <c r="B218" t="s">
        <v>43</v>
      </c>
      <c r="C218" t="s">
        <v>74</v>
      </c>
      <c r="D218" t="s">
        <v>75</v>
      </c>
      <c r="E218" t="s">
        <v>76</v>
      </c>
      <c r="F218">
        <v>10</v>
      </c>
      <c r="I218" t="s">
        <v>147</v>
      </c>
      <c r="J218" t="s">
        <v>148</v>
      </c>
      <c r="K218" t="s">
        <v>149</v>
      </c>
      <c r="L218" t="s">
        <v>150</v>
      </c>
      <c r="M218" t="s">
        <v>59</v>
      </c>
      <c r="N218" t="str">
        <f t="shared" si="58"/>
        <v>{"name" : "DATA_AGENDA",</v>
      </c>
      <c r="O218" t="str">
        <f t="shared" si="59"/>
        <v>"field" : "dataAgenda",</v>
      </c>
      <c r="P218" t="str">
        <f t="shared" si="60"/>
        <v>"type" : "Date",</v>
      </c>
      <c r="Q218" t="str">
        <f t="shared" si="61"/>
        <v>"size" : "10",</v>
      </c>
      <c r="R218" t="str">
        <f t="shared" si="62"/>
        <v>"null" : "true"},</v>
      </c>
      <c r="S218" t="str">
        <f t="shared" si="63"/>
        <v>{"name" : "DATA_AGENDA","field" : "dataAgenda","type" : "Date","size" : "10","null" : "true"},</v>
      </c>
    </row>
    <row r="219" spans="1:19" x14ac:dyDescent="0.25">
      <c r="A219" s="6" t="s">
        <v>43</v>
      </c>
      <c r="B219" t="s">
        <v>43</v>
      </c>
      <c r="C219" t="s">
        <v>132</v>
      </c>
      <c r="D219" t="s">
        <v>91</v>
      </c>
      <c r="E219" t="s">
        <v>146</v>
      </c>
      <c r="F219">
        <v>255</v>
      </c>
      <c r="I219" t="s">
        <v>147</v>
      </c>
      <c r="J219" t="s">
        <v>148</v>
      </c>
      <c r="K219" t="s">
        <v>149</v>
      </c>
      <c r="L219" t="s">
        <v>150</v>
      </c>
      <c r="M219" t="s">
        <v>59</v>
      </c>
      <c r="N219" t="str">
        <f t="shared" si="58"/>
        <v>{"name" : "TIPO",</v>
      </c>
      <c r="O219" t="str">
        <f t="shared" si="59"/>
        <v>"field" : "tipoMarcacao",</v>
      </c>
      <c r="P219" t="str">
        <f t="shared" si="60"/>
        <v>"type" : "VarChar",</v>
      </c>
      <c r="Q219" t="str">
        <f t="shared" si="61"/>
        <v>"size" : "255",</v>
      </c>
      <c r="R219" t="str">
        <f t="shared" si="62"/>
        <v>"null" : "true"},</v>
      </c>
      <c r="S219" t="str">
        <f t="shared" si="63"/>
        <v>{"name" : "TIPO","field" : "tipoMarcacao","type" : "VarChar","size" : "255","null" : "true"},</v>
      </c>
    </row>
    <row r="220" spans="1:19" x14ac:dyDescent="0.25">
      <c r="A220" s="6" t="s">
        <v>43</v>
      </c>
      <c r="B220" t="s">
        <v>43</v>
      </c>
      <c r="C220" t="s">
        <v>77</v>
      </c>
      <c r="D220" t="s">
        <v>78</v>
      </c>
      <c r="E220" t="s">
        <v>79</v>
      </c>
      <c r="F220">
        <v>5</v>
      </c>
      <c r="I220" t="s">
        <v>147</v>
      </c>
      <c r="J220" t="s">
        <v>148</v>
      </c>
      <c r="K220" t="s">
        <v>149</v>
      </c>
      <c r="L220" t="s">
        <v>150</v>
      </c>
      <c r="M220" t="s">
        <v>59</v>
      </c>
      <c r="N220" t="str">
        <f t="shared" si="58"/>
        <v>{"name" : "HORA_AGENDA",</v>
      </c>
      <c r="O220" t="str">
        <f t="shared" si="59"/>
        <v>"field" : "horaAgenda",</v>
      </c>
      <c r="P220" t="str">
        <f t="shared" si="60"/>
        <v>"type" : "Time",</v>
      </c>
      <c r="Q220" t="str">
        <f t="shared" si="61"/>
        <v>"size" : "5",</v>
      </c>
      <c r="R220" t="str">
        <f t="shared" si="62"/>
        <v>"null" : "true"},</v>
      </c>
      <c r="S220" t="str">
        <f t="shared" si="63"/>
        <v>{"name" : "HORA_AGENDA","field" : "horaAgenda","type" : "Time","size" : "5","null" : "true"},</v>
      </c>
    </row>
    <row r="221" spans="1:19" x14ac:dyDescent="0.25">
      <c r="A221" s="7"/>
    </row>
    <row r="222" spans="1:19" x14ac:dyDescent="0.25">
      <c r="A222" s="6" t="s">
        <v>41</v>
      </c>
    </row>
    <row r="223" spans="1:19" x14ac:dyDescent="0.25">
      <c r="A223" s="6" t="s">
        <v>43</v>
      </c>
      <c r="B223" t="s">
        <v>43</v>
      </c>
      <c r="C223" t="s">
        <v>44</v>
      </c>
      <c r="D223" t="s">
        <v>133</v>
      </c>
    </row>
    <row r="224" spans="1:19" x14ac:dyDescent="0.25">
      <c r="A224" s="6" t="s">
        <v>43</v>
      </c>
      <c r="B224" t="s">
        <v>43</v>
      </c>
      <c r="C224" t="s">
        <v>46</v>
      </c>
      <c r="D224" t="s">
        <v>47</v>
      </c>
    </row>
    <row r="225" spans="1:19" x14ac:dyDescent="0.25">
      <c r="A225" s="6" t="s">
        <v>43</v>
      </c>
      <c r="B225" t="s">
        <v>43</v>
      </c>
      <c r="C225" t="s">
        <v>48</v>
      </c>
      <c r="D225" t="s">
        <v>49</v>
      </c>
    </row>
    <row r="226" spans="1:19" x14ac:dyDescent="0.25">
      <c r="A226" s="6" t="s">
        <v>43</v>
      </c>
      <c r="B226" t="s">
        <v>43</v>
      </c>
      <c r="C226" t="s">
        <v>50</v>
      </c>
      <c r="D226" t="s">
        <v>51</v>
      </c>
    </row>
    <row r="227" spans="1:19" x14ac:dyDescent="0.25">
      <c r="A227" s="6" t="s">
        <v>43</v>
      </c>
      <c r="B227" t="s">
        <v>43</v>
      </c>
      <c r="C227" t="s">
        <v>52</v>
      </c>
      <c r="D227" t="s">
        <v>53</v>
      </c>
    </row>
    <row r="228" spans="1:19" x14ac:dyDescent="0.25">
      <c r="A228" s="6" t="s">
        <v>43</v>
      </c>
      <c r="B228" t="s">
        <v>43</v>
      </c>
      <c r="C228" t="s">
        <v>54</v>
      </c>
      <c r="D228" t="s">
        <v>55</v>
      </c>
    </row>
    <row r="229" spans="1:19" x14ac:dyDescent="0.25">
      <c r="A229" s="6" t="s">
        <v>43</v>
      </c>
      <c r="B229" t="s">
        <v>43</v>
      </c>
      <c r="C229" t="s">
        <v>56</v>
      </c>
      <c r="D229" t="s">
        <v>57</v>
      </c>
      <c r="E229" t="s">
        <v>146</v>
      </c>
      <c r="F229">
        <v>255</v>
      </c>
      <c r="G229" t="s">
        <v>95</v>
      </c>
      <c r="H229" t="s">
        <v>96</v>
      </c>
      <c r="I229" t="s">
        <v>147</v>
      </c>
      <c r="J229" t="s">
        <v>148</v>
      </c>
      <c r="K229" t="s">
        <v>149</v>
      </c>
      <c r="L229" t="s">
        <v>150</v>
      </c>
      <c r="M229" t="s">
        <v>59</v>
      </c>
      <c r="N229" t="str">
        <f t="shared" ref="N229:N245" si="64">"{"&amp;CHAR(34)&amp;I229&amp;CHAR(34)&amp;" : "&amp;CHAR(34)&amp;C229&amp;CHAR(34)&amp;","</f>
        <v>{"name" : "CENTRAL",</v>
      </c>
      <c r="O229" t="str">
        <f t="shared" ref="O229:O245" si="65">CHAR(34)&amp;J229&amp;CHAR(34)&amp;" : "&amp;CHAR(34)&amp;D229&amp;CHAR(34)&amp;","</f>
        <v>"field" : "central",</v>
      </c>
      <c r="P229" t="str">
        <f t="shared" ref="P229:P245" si="66">CHAR(34)&amp;K229&amp;CHAR(34)&amp;" : "&amp;CHAR(34)&amp;E229&amp;CHAR(34)&amp;","</f>
        <v>"type" : "VarChar",</v>
      </c>
      <c r="Q229" t="str">
        <f t="shared" ref="Q229:Q245" si="67">CHAR(34)&amp;L229&amp;CHAR(34)&amp;" : "&amp;CHAR(34)&amp;F229&amp;CHAR(34)&amp;","</f>
        <v>"size" : "255",</v>
      </c>
      <c r="R229" t="str">
        <f t="shared" ref="R229:R245" si="68">CHAR(34)&amp;M229&amp;CHAR(34)&amp;" : "&amp;CHAR(34)&amp;IF(G229="not","false","true")&amp;CHAR(34)&amp;"},"</f>
        <v>"null" : "false"},</v>
      </c>
      <c r="S229" t="str">
        <f t="shared" ref="S229:S245" si="69">N229&amp;O229&amp;P229&amp;Q229&amp;R229</f>
        <v>{"name" : "CENTRAL","field" : "central","type" : "VarChar","size" : "255","null" : "false"},</v>
      </c>
    </row>
    <row r="230" spans="1:19" x14ac:dyDescent="0.25">
      <c r="A230" s="6" t="s">
        <v>43</v>
      </c>
      <c r="B230" t="s">
        <v>43</v>
      </c>
      <c r="C230" t="s">
        <v>60</v>
      </c>
      <c r="D230" t="s">
        <v>61</v>
      </c>
      <c r="E230" t="s">
        <v>146</v>
      </c>
      <c r="F230">
        <v>255</v>
      </c>
      <c r="I230" t="s">
        <v>147</v>
      </c>
      <c r="J230" t="s">
        <v>148</v>
      </c>
      <c r="K230" t="s">
        <v>149</v>
      </c>
      <c r="L230" t="s">
        <v>150</v>
      </c>
      <c r="M230" t="s">
        <v>59</v>
      </c>
      <c r="N230" t="str">
        <f t="shared" si="64"/>
        <v>{"name" : "FICHA",</v>
      </c>
      <c r="O230" t="str">
        <f t="shared" si="65"/>
        <v>"field" : "ficha",</v>
      </c>
      <c r="P230" t="str">
        <f t="shared" si="66"/>
        <v>"type" : "VarChar",</v>
      </c>
      <c r="Q230" t="str">
        <f t="shared" si="67"/>
        <v>"size" : "255",</v>
      </c>
      <c r="R230" t="str">
        <f t="shared" si="68"/>
        <v>"null" : "true"},</v>
      </c>
      <c r="S230" t="str">
        <f t="shared" si="69"/>
        <v>{"name" : "FICHA","field" : "ficha","type" : "VarChar","size" : "255","null" : "true"},</v>
      </c>
    </row>
    <row r="231" spans="1:19" x14ac:dyDescent="0.25">
      <c r="A231" s="6" t="s">
        <v>43</v>
      </c>
      <c r="B231" t="s">
        <v>43</v>
      </c>
      <c r="C231" t="s">
        <v>62</v>
      </c>
      <c r="D231" t="s">
        <v>63</v>
      </c>
      <c r="E231" t="s">
        <v>138</v>
      </c>
      <c r="F231">
        <v>8</v>
      </c>
      <c r="I231" t="s">
        <v>147</v>
      </c>
      <c r="J231" t="s">
        <v>148</v>
      </c>
      <c r="K231" t="s">
        <v>149</v>
      </c>
      <c r="L231" t="s">
        <v>150</v>
      </c>
      <c r="M231" t="s">
        <v>59</v>
      </c>
      <c r="N231" t="str">
        <f t="shared" si="64"/>
        <v>{"name" : "SOLICITACAO",</v>
      </c>
      <c r="O231" t="str">
        <f t="shared" si="65"/>
        <v>"field" : "solicitacao",</v>
      </c>
      <c r="P231" t="str">
        <f t="shared" si="66"/>
        <v>"type" : "date",</v>
      </c>
      <c r="Q231" t="str">
        <f t="shared" si="67"/>
        <v>"size" : "8",</v>
      </c>
      <c r="R231" t="str">
        <f t="shared" si="68"/>
        <v>"null" : "true"},</v>
      </c>
      <c r="S231" t="str">
        <f t="shared" si="69"/>
        <v>{"name" : "SOLICITACAO","field" : "solicitacao","type" : "date","size" : "8","null" : "true"},</v>
      </c>
    </row>
    <row r="232" spans="1:19" x14ac:dyDescent="0.25">
      <c r="A232" s="6" t="s">
        <v>43</v>
      </c>
      <c r="B232" t="s">
        <v>43</v>
      </c>
      <c r="C232" t="s">
        <v>64</v>
      </c>
      <c r="D232" t="s">
        <v>65</v>
      </c>
      <c r="E232" t="s">
        <v>146</v>
      </c>
      <c r="F232">
        <v>255</v>
      </c>
      <c r="I232" t="s">
        <v>147</v>
      </c>
      <c r="J232" t="s">
        <v>148</v>
      </c>
      <c r="K232" t="s">
        <v>149</v>
      </c>
      <c r="L232" t="s">
        <v>150</v>
      </c>
      <c r="M232" t="s">
        <v>59</v>
      </c>
      <c r="N232" t="str">
        <f t="shared" si="64"/>
        <v>{"name" : "ESPECIALIDADE",</v>
      </c>
      <c r="O232" t="str">
        <f t="shared" si="65"/>
        <v>"field" : "especialidade",</v>
      </c>
      <c r="P232" t="str">
        <f t="shared" si="66"/>
        <v>"type" : "VarChar",</v>
      </c>
      <c r="Q232" t="str">
        <f t="shared" si="67"/>
        <v>"size" : "255",</v>
      </c>
      <c r="R232" t="str">
        <f t="shared" si="68"/>
        <v>"null" : "true"},</v>
      </c>
      <c r="S232" t="str">
        <f t="shared" si="69"/>
        <v>{"name" : "ESPECIALIDADE","field" : "especialidade","type" : "VarChar","size" : "255","null" : "true"},</v>
      </c>
    </row>
    <row r="233" spans="1:19" x14ac:dyDescent="0.25">
      <c r="A233" s="6" t="s">
        <v>43</v>
      </c>
      <c r="B233" t="s">
        <v>43</v>
      </c>
      <c r="C233" t="s">
        <v>134</v>
      </c>
      <c r="D233" t="s">
        <v>135</v>
      </c>
      <c r="E233" t="s">
        <v>138</v>
      </c>
      <c r="F233">
        <v>8</v>
      </c>
      <c r="I233" t="s">
        <v>147</v>
      </c>
      <c r="J233" t="s">
        <v>148</v>
      </c>
      <c r="K233" t="s">
        <v>149</v>
      </c>
      <c r="L233" t="s">
        <v>150</v>
      </c>
      <c r="M233" t="s">
        <v>59</v>
      </c>
      <c r="N233" t="str">
        <f t="shared" si="64"/>
        <v>{"name" : "CANCELAMENTO",</v>
      </c>
      <c r="O233" t="str">
        <f t="shared" si="65"/>
        <v>"field" : "dataCancelamento",</v>
      </c>
      <c r="P233" t="str">
        <f t="shared" si="66"/>
        <v>"type" : "date",</v>
      </c>
      <c r="Q233" t="str">
        <f t="shared" si="67"/>
        <v>"size" : "8",</v>
      </c>
      <c r="R233" t="str">
        <f t="shared" si="68"/>
        <v>"null" : "true"},</v>
      </c>
      <c r="S233" t="str">
        <f t="shared" si="69"/>
        <v>{"name" : "CANCELAMENTO","field" : "dataCancelamento","type" : "date","size" : "8","null" : "true"},</v>
      </c>
    </row>
    <row r="234" spans="1:19" x14ac:dyDescent="0.25">
      <c r="A234" s="6" t="s">
        <v>43</v>
      </c>
      <c r="B234" t="s">
        <v>43</v>
      </c>
      <c r="C234" t="s">
        <v>66</v>
      </c>
      <c r="D234" t="s">
        <v>67</v>
      </c>
      <c r="E234" t="s">
        <v>146</v>
      </c>
      <c r="F234">
        <v>255</v>
      </c>
      <c r="I234" t="s">
        <v>147</v>
      </c>
      <c r="J234" t="s">
        <v>148</v>
      </c>
      <c r="K234" t="s">
        <v>149</v>
      </c>
      <c r="L234" t="s">
        <v>150</v>
      </c>
      <c r="M234" t="s">
        <v>59</v>
      </c>
      <c r="N234" t="str">
        <f t="shared" si="64"/>
        <v>{"name" : "ORIGEM",</v>
      </c>
      <c r="O234" t="str">
        <f t="shared" si="65"/>
        <v>"field" : "origem",</v>
      </c>
      <c r="P234" t="str">
        <f t="shared" si="66"/>
        <v>"type" : "VarChar",</v>
      </c>
      <c r="Q234" t="str">
        <f t="shared" si="67"/>
        <v>"size" : "255",</v>
      </c>
      <c r="R234" t="str">
        <f t="shared" si="68"/>
        <v>"null" : "true"},</v>
      </c>
      <c r="S234" t="str">
        <f t="shared" si="69"/>
        <v>{"name" : "ORIGEM","field" : "origem","type" : "VarChar","size" : "255","null" : "true"},</v>
      </c>
    </row>
    <row r="235" spans="1:19" x14ac:dyDescent="0.25">
      <c r="A235" s="6" t="s">
        <v>43</v>
      </c>
      <c r="B235" t="s">
        <v>43</v>
      </c>
      <c r="C235" t="s">
        <v>68</v>
      </c>
      <c r="D235" t="s">
        <v>69</v>
      </c>
      <c r="E235" t="s">
        <v>146</v>
      </c>
      <c r="F235">
        <v>255</v>
      </c>
      <c r="I235" t="s">
        <v>147</v>
      </c>
      <c r="J235" t="s">
        <v>148</v>
      </c>
      <c r="K235" t="s">
        <v>149</v>
      </c>
      <c r="L235" t="s">
        <v>150</v>
      </c>
      <c r="M235" t="s">
        <v>59</v>
      </c>
      <c r="N235" t="str">
        <f t="shared" si="64"/>
        <v>{"name" : "SOLICITANTE",</v>
      </c>
      <c r="O235" t="str">
        <f t="shared" si="65"/>
        <v>"field" : "solicitante",</v>
      </c>
      <c r="P235" t="str">
        <f t="shared" si="66"/>
        <v>"type" : "VarChar",</v>
      </c>
      <c r="Q235" t="str">
        <f t="shared" si="67"/>
        <v>"size" : "255",</v>
      </c>
      <c r="R235" t="str">
        <f t="shared" si="68"/>
        <v>"null" : "true"},</v>
      </c>
      <c r="S235" t="str">
        <f t="shared" si="69"/>
        <v>{"name" : "SOLICITANTE","field" : "solicitante","type" : "VarChar","size" : "255","null" : "true"},</v>
      </c>
    </row>
    <row r="236" spans="1:19" x14ac:dyDescent="0.25">
      <c r="A236" s="6" t="s">
        <v>43</v>
      </c>
      <c r="B236" t="s">
        <v>43</v>
      </c>
      <c r="C236" t="s">
        <v>136</v>
      </c>
      <c r="D236" t="s">
        <v>137</v>
      </c>
      <c r="E236" t="s">
        <v>138</v>
      </c>
      <c r="F236">
        <v>10</v>
      </c>
      <c r="I236" t="s">
        <v>147</v>
      </c>
      <c r="J236" t="s">
        <v>148</v>
      </c>
      <c r="K236" t="s">
        <v>149</v>
      </c>
      <c r="L236" t="s">
        <v>150</v>
      </c>
      <c r="M236" t="s">
        <v>59</v>
      </c>
      <c r="N236" t="str">
        <f t="shared" si="64"/>
        <v>{"name" : "DATA_SOLICITACAO",</v>
      </c>
      <c r="O236" t="str">
        <f t="shared" si="65"/>
        <v>"field" : "dataSolicitacao",</v>
      </c>
      <c r="P236" t="str">
        <f t="shared" si="66"/>
        <v>"type" : "date",</v>
      </c>
      <c r="Q236" t="str">
        <f t="shared" si="67"/>
        <v>"size" : "10",</v>
      </c>
      <c r="R236" t="str">
        <f t="shared" si="68"/>
        <v>"null" : "true"},</v>
      </c>
      <c r="S236" t="str">
        <f t="shared" si="69"/>
        <v>{"name" : "DATA_SOLICITACAO","field" : "dataSolicitacao","type" : "date","size" : "10","null" : "true"},</v>
      </c>
    </row>
    <row r="237" spans="1:19" x14ac:dyDescent="0.25">
      <c r="A237" s="6" t="s">
        <v>43</v>
      </c>
      <c r="B237" t="s">
        <v>43</v>
      </c>
      <c r="C237" t="s">
        <v>139</v>
      </c>
      <c r="D237" t="s">
        <v>140</v>
      </c>
      <c r="E237" t="s">
        <v>138</v>
      </c>
      <c r="F237">
        <v>8</v>
      </c>
      <c r="I237" t="s">
        <v>147</v>
      </c>
      <c r="J237" t="s">
        <v>148</v>
      </c>
      <c r="K237" t="s">
        <v>149</v>
      </c>
      <c r="L237" t="s">
        <v>150</v>
      </c>
      <c r="M237" t="s">
        <v>59</v>
      </c>
      <c r="N237" t="str">
        <f t="shared" si="64"/>
        <v>{"name" : "DATA_RETORNO_OBRIG",</v>
      </c>
      <c r="O237" t="str">
        <f t="shared" si="65"/>
        <v>"field" : "dataRetorno",</v>
      </c>
      <c r="P237" t="str">
        <f t="shared" si="66"/>
        <v>"type" : "date",</v>
      </c>
      <c r="Q237" t="str">
        <f t="shared" si="67"/>
        <v>"size" : "8",</v>
      </c>
      <c r="R237" t="str">
        <f t="shared" si="68"/>
        <v>"null" : "true"},</v>
      </c>
      <c r="S237" t="str">
        <f t="shared" si="69"/>
        <v>{"name" : "DATA_RETORNO_OBRIG","field" : "dataRetorno","type" : "date","size" : "8","null" : "true"},</v>
      </c>
    </row>
    <row r="238" spans="1:19" x14ac:dyDescent="0.25">
      <c r="A238" s="6" t="s">
        <v>43</v>
      </c>
      <c r="B238" t="s">
        <v>43</v>
      </c>
      <c r="C238" t="s">
        <v>88</v>
      </c>
      <c r="D238" t="s">
        <v>89</v>
      </c>
      <c r="E238" t="s">
        <v>146</v>
      </c>
      <c r="F238">
        <v>255</v>
      </c>
      <c r="I238" t="s">
        <v>147</v>
      </c>
      <c r="J238" t="s">
        <v>148</v>
      </c>
      <c r="K238" t="s">
        <v>149</v>
      </c>
      <c r="L238" t="s">
        <v>150</v>
      </c>
      <c r="M238" t="s">
        <v>59</v>
      </c>
      <c r="N238" t="str">
        <f t="shared" si="64"/>
        <v>{"name" : "UNIDADE_REQUERIDA",</v>
      </c>
      <c r="O238" t="str">
        <f t="shared" si="65"/>
        <v>"field" : "unidadeRequerida",</v>
      </c>
      <c r="P238" t="str">
        <f t="shared" si="66"/>
        <v>"type" : "VarChar",</v>
      </c>
      <c r="Q238" t="str">
        <f t="shared" si="67"/>
        <v>"size" : "255",</v>
      </c>
      <c r="R238" t="str">
        <f t="shared" si="68"/>
        <v>"null" : "true"},</v>
      </c>
      <c r="S238" t="str">
        <f t="shared" si="69"/>
        <v>{"name" : "UNIDADE_REQUERIDA","field" : "unidadeRequerida","type" : "VarChar","size" : "255","null" : "true"},</v>
      </c>
    </row>
    <row r="239" spans="1:19" x14ac:dyDescent="0.25">
      <c r="A239" s="6" t="s">
        <v>43</v>
      </c>
      <c r="B239" t="s">
        <v>43</v>
      </c>
      <c r="C239" t="s">
        <v>86</v>
      </c>
      <c r="D239" t="s">
        <v>87</v>
      </c>
      <c r="E239" t="s">
        <v>146</v>
      </c>
      <c r="F239">
        <v>255</v>
      </c>
      <c r="I239" t="s">
        <v>147</v>
      </c>
      <c r="J239" t="s">
        <v>148</v>
      </c>
      <c r="K239" t="s">
        <v>149</v>
      </c>
      <c r="L239" t="s">
        <v>150</v>
      </c>
      <c r="M239" t="s">
        <v>59</v>
      </c>
      <c r="N239" t="str">
        <f t="shared" si="64"/>
        <v>{"name" : "MEDICO_REQUERIDO",</v>
      </c>
      <c r="O239" t="str">
        <f t="shared" si="65"/>
        <v>"field" : "medicoRequerido",</v>
      </c>
      <c r="P239" t="str">
        <f t="shared" si="66"/>
        <v>"type" : "VarChar",</v>
      </c>
      <c r="Q239" t="str">
        <f t="shared" si="67"/>
        <v>"size" : "255",</v>
      </c>
      <c r="R239" t="str">
        <f t="shared" si="68"/>
        <v>"null" : "true"},</v>
      </c>
      <c r="S239" t="str">
        <f t="shared" si="69"/>
        <v>{"name" : "MEDICO_REQUERIDO","field" : "medicoRequerido","type" : "VarChar","size" : "255","null" : "true"},</v>
      </c>
    </row>
    <row r="240" spans="1:19" x14ac:dyDescent="0.25">
      <c r="A240" s="6" t="s">
        <v>43</v>
      </c>
      <c r="B240" t="s">
        <v>43</v>
      </c>
      <c r="C240" t="s">
        <v>141</v>
      </c>
      <c r="D240" t="s">
        <v>142</v>
      </c>
      <c r="E240" t="s">
        <v>146</v>
      </c>
      <c r="F240">
        <v>255</v>
      </c>
      <c r="I240" t="s">
        <v>147</v>
      </c>
      <c r="J240" t="s">
        <v>148</v>
      </c>
      <c r="K240" t="s">
        <v>149</v>
      </c>
      <c r="L240" t="s">
        <v>150</v>
      </c>
      <c r="M240" t="s">
        <v>59</v>
      </c>
      <c r="N240" t="str">
        <f t="shared" si="64"/>
        <v>{"name" : "CPF_MEDICO_SOLICITANTE",</v>
      </c>
      <c r="O240" t="str">
        <f t="shared" si="65"/>
        <v>"field" : "cpfMedicoSolicitante",</v>
      </c>
      <c r="P240" t="str">
        <f t="shared" si="66"/>
        <v>"type" : "VarChar",</v>
      </c>
      <c r="Q240" t="str">
        <f t="shared" si="67"/>
        <v>"size" : "255",</v>
      </c>
      <c r="R240" t="str">
        <f t="shared" si="68"/>
        <v>"null" : "true"},</v>
      </c>
      <c r="S240" t="str">
        <f t="shared" si="69"/>
        <v>{"name" : "CPF_MEDICO_SOLICITANTE","field" : "cpfMedicoSolicitante","type" : "VarChar","size" : "255","null" : "true"},</v>
      </c>
    </row>
    <row r="241" spans="1:19" x14ac:dyDescent="0.25">
      <c r="A241" s="6" t="s">
        <v>43</v>
      </c>
      <c r="B241" t="s">
        <v>43</v>
      </c>
      <c r="C241" t="s">
        <v>143</v>
      </c>
      <c r="D241" t="s">
        <v>144</v>
      </c>
      <c r="E241" t="s">
        <v>146</v>
      </c>
      <c r="F241">
        <v>255</v>
      </c>
      <c r="I241" t="s">
        <v>147</v>
      </c>
      <c r="J241" t="s">
        <v>148</v>
      </c>
      <c r="K241" t="s">
        <v>149</v>
      </c>
      <c r="L241" t="s">
        <v>150</v>
      </c>
      <c r="M241" t="s">
        <v>59</v>
      </c>
      <c r="N241" t="str">
        <f t="shared" si="64"/>
        <v>{"name" : "NOME_MEDICO_SOLICITANTE",</v>
      </c>
      <c r="O241" t="str">
        <f t="shared" si="65"/>
        <v>"field" : "nomeMedicoSolicitante",</v>
      </c>
      <c r="P241" t="str">
        <f t="shared" si="66"/>
        <v>"type" : "VarChar",</v>
      </c>
      <c r="Q241" t="str">
        <f t="shared" si="67"/>
        <v>"size" : "255",</v>
      </c>
      <c r="R241" t="str">
        <f t="shared" si="68"/>
        <v>"null" : "true"},</v>
      </c>
      <c r="S241" t="str">
        <f t="shared" si="69"/>
        <v>{"name" : "NOME_MEDICO_SOLICITANTE","field" : "nomeMedicoSolicitante","type" : "VarChar","size" : "255","null" : "true"},</v>
      </c>
    </row>
    <row r="242" spans="1:19" x14ac:dyDescent="0.25">
      <c r="A242" s="6" t="s">
        <v>43</v>
      </c>
      <c r="B242" t="s">
        <v>43</v>
      </c>
      <c r="C242" t="s">
        <v>82</v>
      </c>
      <c r="D242" t="s">
        <v>83</v>
      </c>
      <c r="E242" t="s">
        <v>146</v>
      </c>
      <c r="F242">
        <v>255</v>
      </c>
      <c r="I242" t="s">
        <v>147</v>
      </c>
      <c r="J242" t="s">
        <v>148</v>
      </c>
      <c r="K242" t="s">
        <v>149</v>
      </c>
      <c r="L242" t="s">
        <v>150</v>
      </c>
      <c r="M242" t="s">
        <v>59</v>
      </c>
      <c r="N242" t="str">
        <f t="shared" si="64"/>
        <v>{"name" : "TIPO_BUSCA",</v>
      </c>
      <c r="O242" t="str">
        <f t="shared" si="65"/>
        <v>"field" : "tipoBusca",</v>
      </c>
      <c r="P242" t="str">
        <f t="shared" si="66"/>
        <v>"type" : "VarChar",</v>
      </c>
      <c r="Q242" t="str">
        <f t="shared" si="67"/>
        <v>"size" : "255",</v>
      </c>
      <c r="R242" t="str">
        <f t="shared" si="68"/>
        <v>"null" : "true"},</v>
      </c>
      <c r="S242" t="str">
        <f t="shared" si="69"/>
        <v>{"name" : "TIPO_BUSCA","field" : "tipoBusca","type" : "VarChar","size" : "255","null" : "true"},</v>
      </c>
    </row>
    <row r="243" spans="1:19" x14ac:dyDescent="0.25">
      <c r="A243" s="6" t="s">
        <v>43</v>
      </c>
      <c r="B243" t="s">
        <v>43</v>
      </c>
      <c r="C243" t="s">
        <v>84</v>
      </c>
      <c r="D243" t="s">
        <v>85</v>
      </c>
      <c r="E243" t="s">
        <v>146</v>
      </c>
      <c r="F243">
        <v>255</v>
      </c>
      <c r="I243" t="s">
        <v>147</v>
      </c>
      <c r="J243" t="s">
        <v>148</v>
      </c>
      <c r="K243" t="s">
        <v>149</v>
      </c>
      <c r="L243" t="s">
        <v>150</v>
      </c>
      <c r="M243" t="s">
        <v>59</v>
      </c>
      <c r="N243" t="str">
        <f t="shared" si="64"/>
        <v>{"name" : "SITUACAO_ATUAL",</v>
      </c>
      <c r="O243" t="str">
        <f t="shared" si="65"/>
        <v>"field" : "situacaoAtual",</v>
      </c>
      <c r="P243" t="str">
        <f t="shared" si="66"/>
        <v>"type" : "VarChar",</v>
      </c>
      <c r="Q243" t="str">
        <f t="shared" si="67"/>
        <v>"size" : "255",</v>
      </c>
      <c r="R243" t="str">
        <f t="shared" si="68"/>
        <v>"null" : "true"},</v>
      </c>
      <c r="S243" t="str">
        <f t="shared" si="69"/>
        <v>{"name" : "SITUACAO_ATUAL","field" : "situacaoAtual","type" : "VarChar","size" : "255","null" : "true"},</v>
      </c>
    </row>
    <row r="244" spans="1:19" x14ac:dyDescent="0.25">
      <c r="A244" s="6" t="s">
        <v>43</v>
      </c>
      <c r="B244" t="s">
        <v>43</v>
      </c>
      <c r="C244" t="s">
        <v>90</v>
      </c>
      <c r="D244" t="s">
        <v>91</v>
      </c>
      <c r="E244" t="s">
        <v>146</v>
      </c>
      <c r="F244">
        <v>255</v>
      </c>
      <c r="I244" t="s">
        <v>147</v>
      </c>
      <c r="J244" t="s">
        <v>148</v>
      </c>
      <c r="K244" t="s">
        <v>149</v>
      </c>
      <c r="L244" t="s">
        <v>150</v>
      </c>
      <c r="M244" t="s">
        <v>59</v>
      </c>
      <c r="N244" t="str">
        <f t="shared" si="64"/>
        <v>{"name" : "TIPO_MARCACAO",</v>
      </c>
      <c r="O244" t="str">
        <f t="shared" si="65"/>
        <v>"field" : "tipoMarcacao",</v>
      </c>
      <c r="P244" t="str">
        <f t="shared" si="66"/>
        <v>"type" : "VarChar",</v>
      </c>
      <c r="Q244" t="str">
        <f t="shared" si="67"/>
        <v>"size" : "255",</v>
      </c>
      <c r="R244" t="str">
        <f t="shared" si="68"/>
        <v>"null" : "true"},</v>
      </c>
      <c r="S244" t="str">
        <f t="shared" si="69"/>
        <v>{"name" : "TIPO_MARCACAO","field" : "tipoMarcacao","type" : "VarChar","size" : "255","null" : "true"},</v>
      </c>
    </row>
    <row r="245" spans="1:19" x14ac:dyDescent="0.25">
      <c r="A245" s="6" t="s">
        <v>43</v>
      </c>
      <c r="B245" t="s">
        <v>43</v>
      </c>
      <c r="C245" t="s">
        <v>92</v>
      </c>
      <c r="D245" t="s">
        <v>93</v>
      </c>
      <c r="E245" t="s">
        <v>146</v>
      </c>
      <c r="F245">
        <v>255</v>
      </c>
      <c r="I245" t="s">
        <v>147</v>
      </c>
      <c r="J245" t="s">
        <v>148</v>
      </c>
      <c r="K245" t="s">
        <v>149</v>
      </c>
      <c r="L245" t="s">
        <v>150</v>
      </c>
      <c r="M245" t="s">
        <v>59</v>
      </c>
      <c r="N245" t="str">
        <f t="shared" si="64"/>
        <v>{"name" : "PROCEDENCIA_PACIENTE",</v>
      </c>
      <c r="O245" t="str">
        <f t="shared" si="65"/>
        <v>"field" : "procedencia",</v>
      </c>
      <c r="P245" t="str">
        <f t="shared" si="66"/>
        <v>"type" : "VarChar",</v>
      </c>
      <c r="Q245" t="str">
        <f t="shared" si="67"/>
        <v>"size" : "255",</v>
      </c>
      <c r="R245" t="str">
        <f t="shared" si="68"/>
        <v>"null" : "true"},</v>
      </c>
      <c r="S245" t="str">
        <f t="shared" si="69"/>
        <v>{"name" : "PROCEDENCIA_PACIENTE","field" : "procedencia","type" : "VarChar","size" : "255","null" : "true"},</v>
      </c>
    </row>
    <row r="246" spans="1:19" x14ac:dyDescent="0.25">
      <c r="A246" s="7"/>
    </row>
    <row r="247" spans="1:19" x14ac:dyDescent="0.25">
      <c r="A247" s="6" t="s">
        <v>42</v>
      </c>
    </row>
    <row r="248" spans="1:19" x14ac:dyDescent="0.25">
      <c r="A248" s="6" t="s">
        <v>43</v>
      </c>
      <c r="B248" t="s">
        <v>43</v>
      </c>
      <c r="C248" t="s">
        <v>44</v>
      </c>
      <c r="D248" t="s">
        <v>145</v>
      </c>
    </row>
    <row r="249" spans="1:19" x14ac:dyDescent="0.25">
      <c r="A249" s="6" t="s">
        <v>43</v>
      </c>
      <c r="B249" t="s">
        <v>43</v>
      </c>
      <c r="C249" t="s">
        <v>46</v>
      </c>
      <c r="D249" t="s">
        <v>47</v>
      </c>
    </row>
    <row r="250" spans="1:19" x14ac:dyDescent="0.25">
      <c r="A250" s="6" t="s">
        <v>43</v>
      </c>
      <c r="B250" t="s">
        <v>43</v>
      </c>
      <c r="C250" t="s">
        <v>48</v>
      </c>
      <c r="D250" t="s">
        <v>49</v>
      </c>
    </row>
    <row r="251" spans="1:19" x14ac:dyDescent="0.25">
      <c r="A251" s="6" t="s">
        <v>43</v>
      </c>
      <c r="B251" t="s">
        <v>43</v>
      </c>
      <c r="C251" t="s">
        <v>50</v>
      </c>
      <c r="D251" t="s">
        <v>51</v>
      </c>
    </row>
    <row r="252" spans="1:19" x14ac:dyDescent="0.25">
      <c r="A252" s="6" t="s">
        <v>43</v>
      </c>
      <c r="B252" t="s">
        <v>43</v>
      </c>
      <c r="C252" t="s">
        <v>52</v>
      </c>
      <c r="D252" t="s">
        <v>53</v>
      </c>
    </row>
    <row r="253" spans="1:19" x14ac:dyDescent="0.25">
      <c r="A253" s="6" t="s">
        <v>43</v>
      </c>
      <c r="B253" t="s">
        <v>43</v>
      </c>
      <c r="C253" t="s">
        <v>54</v>
      </c>
      <c r="D253" t="s">
        <v>55</v>
      </c>
    </row>
    <row r="254" spans="1:19" x14ac:dyDescent="0.25">
      <c r="A254" s="6" t="s">
        <v>43</v>
      </c>
      <c r="B254" t="s">
        <v>43</v>
      </c>
      <c r="C254" t="s">
        <v>56</v>
      </c>
      <c r="D254" t="s">
        <v>57</v>
      </c>
      <c r="E254" t="s">
        <v>146</v>
      </c>
      <c r="F254">
        <v>255</v>
      </c>
      <c r="G254" t="s">
        <v>95</v>
      </c>
      <c r="H254" t="s">
        <v>96</v>
      </c>
      <c r="I254" t="s">
        <v>147</v>
      </c>
      <c r="J254" t="s">
        <v>148</v>
      </c>
      <c r="K254" t="s">
        <v>149</v>
      </c>
      <c r="L254" t="s">
        <v>150</v>
      </c>
      <c r="M254" t="s">
        <v>59</v>
      </c>
      <c r="N254" t="str">
        <f t="shared" ref="N254:N270" si="70">"{"&amp;CHAR(34)&amp;I254&amp;CHAR(34)&amp;" : "&amp;CHAR(34)&amp;C254&amp;CHAR(34)&amp;","</f>
        <v>{"name" : "CENTRAL",</v>
      </c>
      <c r="O254" t="str">
        <f t="shared" ref="O254:O270" si="71">CHAR(34)&amp;J254&amp;CHAR(34)&amp;" : "&amp;CHAR(34)&amp;D254&amp;CHAR(34)&amp;","</f>
        <v>"field" : "central",</v>
      </c>
      <c r="P254" t="str">
        <f t="shared" ref="P254:P270" si="72">CHAR(34)&amp;K254&amp;CHAR(34)&amp;" : "&amp;CHAR(34)&amp;E254&amp;CHAR(34)&amp;","</f>
        <v>"type" : "VarChar",</v>
      </c>
      <c r="Q254" t="str">
        <f t="shared" ref="Q254:Q270" si="73">CHAR(34)&amp;L254&amp;CHAR(34)&amp;" : "&amp;CHAR(34)&amp;F254&amp;CHAR(34)&amp;","</f>
        <v>"size" : "255",</v>
      </c>
      <c r="R254" t="str">
        <f t="shared" ref="R254:R270" si="74">CHAR(34)&amp;M254&amp;CHAR(34)&amp;" : "&amp;CHAR(34)&amp;IF(G254="not","false","true")&amp;CHAR(34)&amp;"},"</f>
        <v>"null" : "false"},</v>
      </c>
      <c r="S254" t="str">
        <f t="shared" ref="S254:S270" si="75">N254&amp;O254&amp;P254&amp;Q254&amp;R254</f>
        <v>{"name" : "CENTRAL","field" : "central","type" : "VarChar","size" : "255","null" : "false"},</v>
      </c>
    </row>
    <row r="255" spans="1:19" x14ac:dyDescent="0.25">
      <c r="A255" s="6" t="s">
        <v>43</v>
      </c>
      <c r="B255" t="s">
        <v>43</v>
      </c>
      <c r="C255" t="s">
        <v>60</v>
      </c>
      <c r="D255" t="s">
        <v>61</v>
      </c>
      <c r="E255" t="s">
        <v>146</v>
      </c>
      <c r="F255">
        <v>255</v>
      </c>
      <c r="I255" t="s">
        <v>147</v>
      </c>
      <c r="J255" t="s">
        <v>148</v>
      </c>
      <c r="K255" t="s">
        <v>149</v>
      </c>
      <c r="L255" t="s">
        <v>150</v>
      </c>
      <c r="M255" t="s">
        <v>59</v>
      </c>
      <c r="N255" t="str">
        <f t="shared" si="70"/>
        <v>{"name" : "FICHA",</v>
      </c>
      <c r="O255" t="str">
        <f t="shared" si="71"/>
        <v>"field" : "ficha",</v>
      </c>
      <c r="P255" t="str">
        <f t="shared" si="72"/>
        <v>"type" : "VarChar",</v>
      </c>
      <c r="Q255" t="str">
        <f t="shared" si="73"/>
        <v>"size" : "255",</v>
      </c>
      <c r="R255" t="str">
        <f t="shared" si="74"/>
        <v>"null" : "true"},</v>
      </c>
      <c r="S255" t="str">
        <f t="shared" si="75"/>
        <v>{"name" : "FICHA","field" : "ficha","type" : "VarChar","size" : "255","null" : "true"},</v>
      </c>
    </row>
    <row r="256" spans="1:19" x14ac:dyDescent="0.25">
      <c r="A256" s="6" t="s">
        <v>43</v>
      </c>
      <c r="B256" t="s">
        <v>43</v>
      </c>
      <c r="C256" t="s">
        <v>62</v>
      </c>
      <c r="D256" t="s">
        <v>63</v>
      </c>
      <c r="E256" t="s">
        <v>138</v>
      </c>
      <c r="F256">
        <v>8</v>
      </c>
      <c r="I256" t="s">
        <v>147</v>
      </c>
      <c r="J256" t="s">
        <v>148</v>
      </c>
      <c r="K256" t="s">
        <v>149</v>
      </c>
      <c r="L256" t="s">
        <v>150</v>
      </c>
      <c r="M256" t="s">
        <v>59</v>
      </c>
      <c r="N256" t="str">
        <f t="shared" si="70"/>
        <v>{"name" : "SOLICITACAO",</v>
      </c>
      <c r="O256" t="str">
        <f t="shared" si="71"/>
        <v>"field" : "solicitacao",</v>
      </c>
      <c r="P256" t="str">
        <f t="shared" si="72"/>
        <v>"type" : "date",</v>
      </c>
      <c r="Q256" t="str">
        <f t="shared" si="73"/>
        <v>"size" : "8",</v>
      </c>
      <c r="R256" t="str">
        <f t="shared" si="74"/>
        <v>"null" : "true"},</v>
      </c>
      <c r="S256" t="str">
        <f t="shared" si="75"/>
        <v>{"name" : "SOLICITACAO","field" : "solicitacao","type" : "date","size" : "8","null" : "true"},</v>
      </c>
    </row>
    <row r="257" spans="1:19" x14ac:dyDescent="0.25">
      <c r="A257" s="6" t="s">
        <v>43</v>
      </c>
      <c r="B257" t="s">
        <v>43</v>
      </c>
      <c r="C257" t="s">
        <v>64</v>
      </c>
      <c r="D257" t="s">
        <v>65</v>
      </c>
      <c r="E257" t="s">
        <v>146</v>
      </c>
      <c r="F257">
        <v>255</v>
      </c>
      <c r="I257" t="s">
        <v>147</v>
      </c>
      <c r="J257" t="s">
        <v>148</v>
      </c>
      <c r="K257" t="s">
        <v>149</v>
      </c>
      <c r="L257" t="s">
        <v>150</v>
      </c>
      <c r="M257" t="s">
        <v>59</v>
      </c>
      <c r="N257" t="str">
        <f t="shared" si="70"/>
        <v>{"name" : "ESPECIALIDADE",</v>
      </c>
      <c r="O257" t="str">
        <f t="shared" si="71"/>
        <v>"field" : "especialidade",</v>
      </c>
      <c r="P257" t="str">
        <f t="shared" si="72"/>
        <v>"type" : "VarChar",</v>
      </c>
      <c r="Q257" t="str">
        <f t="shared" si="73"/>
        <v>"size" : "255",</v>
      </c>
      <c r="R257" t="str">
        <f t="shared" si="74"/>
        <v>"null" : "true"},</v>
      </c>
      <c r="S257" t="str">
        <f t="shared" si="75"/>
        <v>{"name" : "ESPECIALIDADE","field" : "especialidade","type" : "VarChar","size" : "255","null" : "true"},</v>
      </c>
    </row>
    <row r="258" spans="1:19" x14ac:dyDescent="0.25">
      <c r="A258" s="6" t="s">
        <v>43</v>
      </c>
      <c r="B258" t="s">
        <v>43</v>
      </c>
      <c r="C258" t="s">
        <v>134</v>
      </c>
      <c r="D258" t="s">
        <v>135</v>
      </c>
      <c r="E258" t="s">
        <v>138</v>
      </c>
      <c r="F258">
        <v>8</v>
      </c>
      <c r="I258" t="s">
        <v>147</v>
      </c>
      <c r="J258" t="s">
        <v>148</v>
      </c>
      <c r="K258" t="s">
        <v>149</v>
      </c>
      <c r="L258" t="s">
        <v>150</v>
      </c>
      <c r="M258" t="s">
        <v>59</v>
      </c>
      <c r="N258" t="str">
        <f t="shared" si="70"/>
        <v>{"name" : "CANCELAMENTO",</v>
      </c>
      <c r="O258" t="str">
        <f t="shared" si="71"/>
        <v>"field" : "dataCancelamento",</v>
      </c>
      <c r="P258" t="str">
        <f t="shared" si="72"/>
        <v>"type" : "date",</v>
      </c>
      <c r="Q258" t="str">
        <f t="shared" si="73"/>
        <v>"size" : "8",</v>
      </c>
      <c r="R258" t="str">
        <f t="shared" si="74"/>
        <v>"null" : "true"},</v>
      </c>
      <c r="S258" t="str">
        <f t="shared" si="75"/>
        <v>{"name" : "CANCELAMENTO","field" : "dataCancelamento","type" : "date","size" : "8","null" : "true"},</v>
      </c>
    </row>
    <row r="259" spans="1:19" x14ac:dyDescent="0.25">
      <c r="A259" s="6" t="s">
        <v>43</v>
      </c>
      <c r="B259" t="s">
        <v>43</v>
      </c>
      <c r="C259" t="s">
        <v>66</v>
      </c>
      <c r="D259" t="s">
        <v>67</v>
      </c>
      <c r="E259" t="s">
        <v>146</v>
      </c>
      <c r="F259">
        <v>255</v>
      </c>
      <c r="I259" t="s">
        <v>147</v>
      </c>
      <c r="J259" t="s">
        <v>148</v>
      </c>
      <c r="K259" t="s">
        <v>149</v>
      </c>
      <c r="L259" t="s">
        <v>150</v>
      </c>
      <c r="M259" t="s">
        <v>59</v>
      </c>
      <c r="N259" t="str">
        <f t="shared" si="70"/>
        <v>{"name" : "ORIGEM",</v>
      </c>
      <c r="O259" t="str">
        <f t="shared" si="71"/>
        <v>"field" : "origem",</v>
      </c>
      <c r="P259" t="str">
        <f t="shared" si="72"/>
        <v>"type" : "VarChar",</v>
      </c>
      <c r="Q259" t="str">
        <f t="shared" si="73"/>
        <v>"size" : "255",</v>
      </c>
      <c r="R259" t="str">
        <f t="shared" si="74"/>
        <v>"null" : "true"},</v>
      </c>
      <c r="S259" t="str">
        <f t="shared" si="75"/>
        <v>{"name" : "ORIGEM","field" : "origem","type" : "VarChar","size" : "255","null" : "true"},</v>
      </c>
    </row>
    <row r="260" spans="1:19" x14ac:dyDescent="0.25">
      <c r="A260" s="6" t="s">
        <v>43</v>
      </c>
      <c r="B260" t="s">
        <v>43</v>
      </c>
      <c r="C260" t="s">
        <v>68</v>
      </c>
      <c r="D260" t="s">
        <v>69</v>
      </c>
      <c r="E260" t="s">
        <v>146</v>
      </c>
      <c r="F260">
        <v>255</v>
      </c>
      <c r="I260" t="s">
        <v>147</v>
      </c>
      <c r="J260" t="s">
        <v>148</v>
      </c>
      <c r="K260" t="s">
        <v>149</v>
      </c>
      <c r="L260" t="s">
        <v>150</v>
      </c>
      <c r="M260" t="s">
        <v>59</v>
      </c>
      <c r="N260" t="str">
        <f t="shared" si="70"/>
        <v>{"name" : "SOLICITANTE",</v>
      </c>
      <c r="O260" t="str">
        <f t="shared" si="71"/>
        <v>"field" : "solicitante",</v>
      </c>
      <c r="P260" t="str">
        <f t="shared" si="72"/>
        <v>"type" : "VarChar",</v>
      </c>
      <c r="Q260" t="str">
        <f t="shared" si="73"/>
        <v>"size" : "255",</v>
      </c>
      <c r="R260" t="str">
        <f t="shared" si="74"/>
        <v>"null" : "true"},</v>
      </c>
      <c r="S260" t="str">
        <f t="shared" si="75"/>
        <v>{"name" : "SOLICITANTE","field" : "solicitante","type" : "VarChar","size" : "255","null" : "true"},</v>
      </c>
    </row>
    <row r="261" spans="1:19" x14ac:dyDescent="0.25">
      <c r="A261" s="6" t="s">
        <v>43</v>
      </c>
      <c r="B261" t="s">
        <v>43</v>
      </c>
      <c r="C261" t="s">
        <v>136</v>
      </c>
      <c r="D261" t="s">
        <v>137</v>
      </c>
      <c r="E261" t="s">
        <v>138</v>
      </c>
      <c r="F261">
        <v>10</v>
      </c>
      <c r="I261" t="s">
        <v>147</v>
      </c>
      <c r="J261" t="s">
        <v>148</v>
      </c>
      <c r="K261" t="s">
        <v>149</v>
      </c>
      <c r="L261" t="s">
        <v>150</v>
      </c>
      <c r="M261" t="s">
        <v>59</v>
      </c>
      <c r="N261" t="str">
        <f t="shared" si="70"/>
        <v>{"name" : "DATA_SOLICITACAO",</v>
      </c>
      <c r="O261" t="str">
        <f t="shared" si="71"/>
        <v>"field" : "dataSolicitacao",</v>
      </c>
      <c r="P261" t="str">
        <f t="shared" si="72"/>
        <v>"type" : "date",</v>
      </c>
      <c r="Q261" t="str">
        <f t="shared" si="73"/>
        <v>"size" : "10",</v>
      </c>
      <c r="R261" t="str">
        <f t="shared" si="74"/>
        <v>"null" : "true"},</v>
      </c>
      <c r="S261" t="str">
        <f t="shared" si="75"/>
        <v>{"name" : "DATA_SOLICITACAO","field" : "dataSolicitacao","type" : "date","size" : "10","null" : "true"},</v>
      </c>
    </row>
    <row r="262" spans="1:19" x14ac:dyDescent="0.25">
      <c r="A262" s="6" t="s">
        <v>43</v>
      </c>
      <c r="B262" t="s">
        <v>43</v>
      </c>
      <c r="C262" t="s">
        <v>139</v>
      </c>
      <c r="D262" t="s">
        <v>140</v>
      </c>
      <c r="E262" t="s">
        <v>138</v>
      </c>
      <c r="F262">
        <v>8</v>
      </c>
      <c r="I262" t="s">
        <v>147</v>
      </c>
      <c r="J262" t="s">
        <v>148</v>
      </c>
      <c r="K262" t="s">
        <v>149</v>
      </c>
      <c r="L262" t="s">
        <v>150</v>
      </c>
      <c r="M262" t="s">
        <v>59</v>
      </c>
      <c r="N262" t="str">
        <f t="shared" si="70"/>
        <v>{"name" : "DATA_RETORNO_OBRIG",</v>
      </c>
      <c r="O262" t="str">
        <f t="shared" si="71"/>
        <v>"field" : "dataRetorno",</v>
      </c>
      <c r="P262" t="str">
        <f t="shared" si="72"/>
        <v>"type" : "date",</v>
      </c>
      <c r="Q262" t="str">
        <f t="shared" si="73"/>
        <v>"size" : "8",</v>
      </c>
      <c r="R262" t="str">
        <f t="shared" si="74"/>
        <v>"null" : "true"},</v>
      </c>
      <c r="S262" t="str">
        <f t="shared" si="75"/>
        <v>{"name" : "DATA_RETORNO_OBRIG","field" : "dataRetorno","type" : "date","size" : "8","null" : "true"},</v>
      </c>
    </row>
    <row r="263" spans="1:19" x14ac:dyDescent="0.25">
      <c r="A263" s="6" t="s">
        <v>43</v>
      </c>
      <c r="B263" t="s">
        <v>43</v>
      </c>
      <c r="C263" t="s">
        <v>88</v>
      </c>
      <c r="D263" t="s">
        <v>89</v>
      </c>
      <c r="E263" t="s">
        <v>146</v>
      </c>
      <c r="F263">
        <v>255</v>
      </c>
      <c r="I263" t="s">
        <v>147</v>
      </c>
      <c r="J263" t="s">
        <v>148</v>
      </c>
      <c r="K263" t="s">
        <v>149</v>
      </c>
      <c r="L263" t="s">
        <v>150</v>
      </c>
      <c r="M263" t="s">
        <v>59</v>
      </c>
      <c r="N263" t="str">
        <f t="shared" si="70"/>
        <v>{"name" : "UNIDADE_REQUERIDA",</v>
      </c>
      <c r="O263" t="str">
        <f t="shared" si="71"/>
        <v>"field" : "unidadeRequerida",</v>
      </c>
      <c r="P263" t="str">
        <f t="shared" si="72"/>
        <v>"type" : "VarChar",</v>
      </c>
      <c r="Q263" t="str">
        <f t="shared" si="73"/>
        <v>"size" : "255",</v>
      </c>
      <c r="R263" t="str">
        <f t="shared" si="74"/>
        <v>"null" : "true"},</v>
      </c>
      <c r="S263" t="str">
        <f t="shared" si="75"/>
        <v>{"name" : "UNIDADE_REQUERIDA","field" : "unidadeRequerida","type" : "VarChar","size" : "255","null" : "true"},</v>
      </c>
    </row>
    <row r="264" spans="1:19" x14ac:dyDescent="0.25">
      <c r="A264" s="6" t="s">
        <v>43</v>
      </c>
      <c r="B264" t="s">
        <v>43</v>
      </c>
      <c r="C264" t="s">
        <v>86</v>
      </c>
      <c r="D264" t="s">
        <v>87</v>
      </c>
      <c r="E264" t="s">
        <v>146</v>
      </c>
      <c r="F264">
        <v>255</v>
      </c>
      <c r="I264" t="s">
        <v>147</v>
      </c>
      <c r="J264" t="s">
        <v>148</v>
      </c>
      <c r="K264" t="s">
        <v>149</v>
      </c>
      <c r="L264" t="s">
        <v>150</v>
      </c>
      <c r="M264" t="s">
        <v>59</v>
      </c>
      <c r="N264" t="str">
        <f t="shared" si="70"/>
        <v>{"name" : "MEDICO_REQUERIDO",</v>
      </c>
      <c r="O264" t="str">
        <f t="shared" si="71"/>
        <v>"field" : "medicoRequerido",</v>
      </c>
      <c r="P264" t="str">
        <f t="shared" si="72"/>
        <v>"type" : "VarChar",</v>
      </c>
      <c r="Q264" t="str">
        <f t="shared" si="73"/>
        <v>"size" : "255",</v>
      </c>
      <c r="R264" t="str">
        <f t="shared" si="74"/>
        <v>"null" : "true"},</v>
      </c>
      <c r="S264" t="str">
        <f t="shared" si="75"/>
        <v>{"name" : "MEDICO_REQUERIDO","field" : "medicoRequerido","type" : "VarChar","size" : "255","null" : "true"},</v>
      </c>
    </row>
    <row r="265" spans="1:19" x14ac:dyDescent="0.25">
      <c r="A265" s="6" t="s">
        <v>43</v>
      </c>
      <c r="B265" t="s">
        <v>43</v>
      </c>
      <c r="C265" t="s">
        <v>141</v>
      </c>
      <c r="D265" t="s">
        <v>142</v>
      </c>
      <c r="E265" t="s">
        <v>146</v>
      </c>
      <c r="F265">
        <v>255</v>
      </c>
      <c r="I265" t="s">
        <v>147</v>
      </c>
      <c r="J265" t="s">
        <v>148</v>
      </c>
      <c r="K265" t="s">
        <v>149</v>
      </c>
      <c r="L265" t="s">
        <v>150</v>
      </c>
      <c r="M265" t="s">
        <v>59</v>
      </c>
      <c r="N265" t="str">
        <f t="shared" si="70"/>
        <v>{"name" : "CPF_MEDICO_SOLICITANTE",</v>
      </c>
      <c r="O265" t="str">
        <f t="shared" si="71"/>
        <v>"field" : "cpfMedicoSolicitante",</v>
      </c>
      <c r="P265" t="str">
        <f t="shared" si="72"/>
        <v>"type" : "VarChar",</v>
      </c>
      <c r="Q265" t="str">
        <f t="shared" si="73"/>
        <v>"size" : "255",</v>
      </c>
      <c r="R265" t="str">
        <f t="shared" si="74"/>
        <v>"null" : "true"},</v>
      </c>
      <c r="S265" t="str">
        <f t="shared" si="75"/>
        <v>{"name" : "CPF_MEDICO_SOLICITANTE","field" : "cpfMedicoSolicitante","type" : "VarChar","size" : "255","null" : "true"},</v>
      </c>
    </row>
    <row r="266" spans="1:19" x14ac:dyDescent="0.25">
      <c r="A266" s="6" t="s">
        <v>43</v>
      </c>
      <c r="B266" t="s">
        <v>43</v>
      </c>
      <c r="C266" t="s">
        <v>143</v>
      </c>
      <c r="D266" t="s">
        <v>144</v>
      </c>
      <c r="E266" t="s">
        <v>146</v>
      </c>
      <c r="F266">
        <v>255</v>
      </c>
      <c r="I266" t="s">
        <v>147</v>
      </c>
      <c r="J266" t="s">
        <v>148</v>
      </c>
      <c r="K266" t="s">
        <v>149</v>
      </c>
      <c r="L266" t="s">
        <v>150</v>
      </c>
      <c r="M266" t="s">
        <v>59</v>
      </c>
      <c r="N266" t="str">
        <f t="shared" si="70"/>
        <v>{"name" : "NOME_MEDICO_SOLICITANTE",</v>
      </c>
      <c r="O266" t="str">
        <f t="shared" si="71"/>
        <v>"field" : "nomeMedicoSolicitante",</v>
      </c>
      <c r="P266" t="str">
        <f t="shared" si="72"/>
        <v>"type" : "VarChar",</v>
      </c>
      <c r="Q266" t="str">
        <f t="shared" si="73"/>
        <v>"size" : "255",</v>
      </c>
      <c r="R266" t="str">
        <f t="shared" si="74"/>
        <v>"null" : "true"},</v>
      </c>
      <c r="S266" t="str">
        <f t="shared" si="75"/>
        <v>{"name" : "NOME_MEDICO_SOLICITANTE","field" : "nomeMedicoSolicitante","type" : "VarChar","size" : "255","null" : "true"},</v>
      </c>
    </row>
    <row r="267" spans="1:19" x14ac:dyDescent="0.25">
      <c r="A267" s="6" t="s">
        <v>43</v>
      </c>
      <c r="B267" t="s">
        <v>43</v>
      </c>
      <c r="C267" t="s">
        <v>82</v>
      </c>
      <c r="D267" t="s">
        <v>83</v>
      </c>
      <c r="E267" t="s">
        <v>146</v>
      </c>
      <c r="F267">
        <v>255</v>
      </c>
      <c r="I267" t="s">
        <v>147</v>
      </c>
      <c r="J267" t="s">
        <v>148</v>
      </c>
      <c r="K267" t="s">
        <v>149</v>
      </c>
      <c r="L267" t="s">
        <v>150</v>
      </c>
      <c r="M267" t="s">
        <v>59</v>
      </c>
      <c r="N267" t="str">
        <f t="shared" si="70"/>
        <v>{"name" : "TIPO_BUSCA",</v>
      </c>
      <c r="O267" t="str">
        <f t="shared" si="71"/>
        <v>"field" : "tipoBusca",</v>
      </c>
      <c r="P267" t="str">
        <f t="shared" si="72"/>
        <v>"type" : "VarChar",</v>
      </c>
      <c r="Q267" t="str">
        <f t="shared" si="73"/>
        <v>"size" : "255",</v>
      </c>
      <c r="R267" t="str">
        <f t="shared" si="74"/>
        <v>"null" : "true"},</v>
      </c>
      <c r="S267" t="str">
        <f t="shared" si="75"/>
        <v>{"name" : "TIPO_BUSCA","field" : "tipoBusca","type" : "VarChar","size" : "255","null" : "true"},</v>
      </c>
    </row>
    <row r="268" spans="1:19" x14ac:dyDescent="0.25">
      <c r="A268" s="6" t="s">
        <v>43</v>
      </c>
      <c r="B268" t="s">
        <v>43</v>
      </c>
      <c r="C268" t="s">
        <v>84</v>
      </c>
      <c r="D268" t="s">
        <v>85</v>
      </c>
      <c r="E268" t="s">
        <v>146</v>
      </c>
      <c r="F268">
        <v>255</v>
      </c>
      <c r="I268" t="s">
        <v>147</v>
      </c>
      <c r="J268" t="s">
        <v>148</v>
      </c>
      <c r="K268" t="s">
        <v>149</v>
      </c>
      <c r="L268" t="s">
        <v>150</v>
      </c>
      <c r="M268" t="s">
        <v>59</v>
      </c>
      <c r="N268" t="str">
        <f t="shared" si="70"/>
        <v>{"name" : "SITUACAO_ATUAL",</v>
      </c>
      <c r="O268" t="str">
        <f t="shared" si="71"/>
        <v>"field" : "situacaoAtual",</v>
      </c>
      <c r="P268" t="str">
        <f t="shared" si="72"/>
        <v>"type" : "VarChar",</v>
      </c>
      <c r="Q268" t="str">
        <f t="shared" si="73"/>
        <v>"size" : "255",</v>
      </c>
      <c r="R268" t="str">
        <f t="shared" si="74"/>
        <v>"null" : "true"},</v>
      </c>
      <c r="S268" t="str">
        <f t="shared" si="75"/>
        <v>{"name" : "SITUACAO_ATUAL","field" : "situacaoAtual","type" : "VarChar","size" : "255","null" : "true"},</v>
      </c>
    </row>
    <row r="269" spans="1:19" x14ac:dyDescent="0.25">
      <c r="A269" s="6" t="s">
        <v>43</v>
      </c>
      <c r="B269" t="s">
        <v>43</v>
      </c>
      <c r="C269" t="s">
        <v>90</v>
      </c>
      <c r="D269" t="s">
        <v>91</v>
      </c>
      <c r="E269" t="s">
        <v>146</v>
      </c>
      <c r="F269">
        <v>255</v>
      </c>
      <c r="I269" t="s">
        <v>147</v>
      </c>
      <c r="J269" t="s">
        <v>148</v>
      </c>
      <c r="K269" t="s">
        <v>149</v>
      </c>
      <c r="L269" t="s">
        <v>150</v>
      </c>
      <c r="M269" t="s">
        <v>59</v>
      </c>
      <c r="N269" t="str">
        <f t="shared" si="70"/>
        <v>{"name" : "TIPO_MARCACAO",</v>
      </c>
      <c r="O269" t="str">
        <f t="shared" si="71"/>
        <v>"field" : "tipoMarcacao",</v>
      </c>
      <c r="P269" t="str">
        <f t="shared" si="72"/>
        <v>"type" : "VarChar",</v>
      </c>
      <c r="Q269" t="str">
        <f t="shared" si="73"/>
        <v>"size" : "255",</v>
      </c>
      <c r="R269" t="str">
        <f t="shared" si="74"/>
        <v>"null" : "true"},</v>
      </c>
      <c r="S269" t="str">
        <f t="shared" si="75"/>
        <v>{"name" : "TIPO_MARCACAO","field" : "tipoMarcacao","type" : "VarChar","size" : "255","null" : "true"},</v>
      </c>
    </row>
    <row r="270" spans="1:19" x14ac:dyDescent="0.25">
      <c r="A270" s="6" t="s">
        <v>43</v>
      </c>
      <c r="B270" t="s">
        <v>43</v>
      </c>
      <c r="C270" t="s">
        <v>92</v>
      </c>
      <c r="D270" t="s">
        <v>93</v>
      </c>
      <c r="E270" t="s">
        <v>146</v>
      </c>
      <c r="F270">
        <v>255</v>
      </c>
      <c r="I270" t="s">
        <v>147</v>
      </c>
      <c r="J270" t="s">
        <v>148</v>
      </c>
      <c r="K270" t="s">
        <v>149</v>
      </c>
      <c r="L270" t="s">
        <v>150</v>
      </c>
      <c r="M270" t="s">
        <v>59</v>
      </c>
      <c r="N270" t="str">
        <f t="shared" si="70"/>
        <v>{"name" : "PROCEDENCIA_PACIENTE",</v>
      </c>
      <c r="O270" t="str">
        <f t="shared" si="71"/>
        <v>"field" : "procedencia",</v>
      </c>
      <c r="P270" t="str">
        <f t="shared" si="72"/>
        <v>"type" : "VarChar",</v>
      </c>
      <c r="Q270" t="str">
        <f t="shared" si="73"/>
        <v>"size" : "255",</v>
      </c>
      <c r="R270" t="str">
        <f t="shared" si="74"/>
        <v>"null" : "true"},</v>
      </c>
      <c r="S270" t="str">
        <f t="shared" si="75"/>
        <v>{"name" : "PROCEDENCIA_PACIENTE","field" : "procedencia","type" : "VarChar","size" : "255","null" : "true"},</v>
      </c>
    </row>
  </sheetData>
  <pageMargins left="0.511811024" right="0.511811024" top="0.78740157499999996" bottom="0.78740157499999996" header="0.31496062000000002" footer="0.31496062000000002"/>
  <pageSetup paperSize="9" orientation="portrait" verticalDpi="599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AUX"/>
  <dimension ref="A2:C32"/>
  <sheetViews>
    <sheetView workbookViewId="0">
      <selection activeCell="B16" sqref="B16"/>
    </sheetView>
  </sheetViews>
  <sheetFormatPr defaultRowHeight="15" x14ac:dyDescent="0.25"/>
  <cols>
    <col min="1" max="1" width="23.28515625" bestFit="1" customWidth="1"/>
    <col min="2" max="2" width="25.7109375" bestFit="1" customWidth="1"/>
  </cols>
  <sheetData>
    <row r="2" spans="1:3" x14ac:dyDescent="0.25">
      <c r="A2" t="str">
        <f t="shared" ref="A2:A32" si="0">TEXT(ROW()-ROW(DEF_DIA),"00")</f>
        <v>01</v>
      </c>
      <c r="B2" t="s">
        <v>4</v>
      </c>
      <c r="C2">
        <f ca="1">YEAR(TODAY())</f>
        <v>2022</v>
      </c>
    </row>
    <row r="3" spans="1:3" x14ac:dyDescent="0.25">
      <c r="A3" t="str">
        <f t="shared" si="0"/>
        <v>02</v>
      </c>
      <c r="B3" t="s">
        <v>5</v>
      </c>
      <c r="C3">
        <f ca="1">C2-1</f>
        <v>2021</v>
      </c>
    </row>
    <row r="4" spans="1:3" x14ac:dyDescent="0.25">
      <c r="A4" t="str">
        <f t="shared" si="0"/>
        <v>03</v>
      </c>
      <c r="B4" t="s">
        <v>6</v>
      </c>
      <c r="C4">
        <f t="shared" ref="C4:C13" ca="1" si="1">C3-1</f>
        <v>2020</v>
      </c>
    </row>
    <row r="5" spans="1:3" x14ac:dyDescent="0.25">
      <c r="A5" t="str">
        <f t="shared" si="0"/>
        <v>04</v>
      </c>
      <c r="B5" t="s">
        <v>7</v>
      </c>
      <c r="C5">
        <f t="shared" ca="1" si="1"/>
        <v>2019</v>
      </c>
    </row>
    <row r="6" spans="1:3" x14ac:dyDescent="0.25">
      <c r="A6" t="str">
        <f t="shared" si="0"/>
        <v>05</v>
      </c>
      <c r="B6" t="s">
        <v>8</v>
      </c>
      <c r="C6">
        <f t="shared" ca="1" si="1"/>
        <v>2018</v>
      </c>
    </row>
    <row r="7" spans="1:3" x14ac:dyDescent="0.25">
      <c r="A7" t="str">
        <f t="shared" si="0"/>
        <v>06</v>
      </c>
      <c r="B7" t="s">
        <v>9</v>
      </c>
      <c r="C7">
        <f t="shared" ca="1" si="1"/>
        <v>2017</v>
      </c>
    </row>
    <row r="8" spans="1:3" x14ac:dyDescent="0.25">
      <c r="A8" t="str">
        <f t="shared" si="0"/>
        <v>07</v>
      </c>
      <c r="B8" t="s">
        <v>10</v>
      </c>
      <c r="C8">
        <f t="shared" ca="1" si="1"/>
        <v>2016</v>
      </c>
    </row>
    <row r="9" spans="1:3" x14ac:dyDescent="0.25">
      <c r="A9" t="str">
        <f t="shared" si="0"/>
        <v>08</v>
      </c>
      <c r="B9" t="s">
        <v>11</v>
      </c>
      <c r="C9">
        <f t="shared" ca="1" si="1"/>
        <v>2015</v>
      </c>
    </row>
    <row r="10" spans="1:3" x14ac:dyDescent="0.25">
      <c r="A10" t="str">
        <f t="shared" si="0"/>
        <v>09</v>
      </c>
      <c r="B10" t="s">
        <v>12</v>
      </c>
      <c r="C10">
        <f t="shared" ca="1" si="1"/>
        <v>2014</v>
      </c>
    </row>
    <row r="11" spans="1:3" x14ac:dyDescent="0.25">
      <c r="A11" t="str">
        <f t="shared" si="0"/>
        <v>10</v>
      </c>
      <c r="B11" t="s">
        <v>13</v>
      </c>
      <c r="C11">
        <f t="shared" ca="1" si="1"/>
        <v>2013</v>
      </c>
    </row>
    <row r="12" spans="1:3" x14ac:dyDescent="0.25">
      <c r="A12" t="str">
        <f t="shared" si="0"/>
        <v>11</v>
      </c>
      <c r="B12" t="s">
        <v>14</v>
      </c>
      <c r="C12">
        <f t="shared" ca="1" si="1"/>
        <v>2012</v>
      </c>
    </row>
    <row r="13" spans="1:3" x14ac:dyDescent="0.25">
      <c r="A13" t="str">
        <f t="shared" si="0"/>
        <v>12</v>
      </c>
      <c r="B13" t="s">
        <v>15</v>
      </c>
      <c r="C13">
        <f t="shared" ca="1" si="1"/>
        <v>2011</v>
      </c>
    </row>
    <row r="14" spans="1:3" x14ac:dyDescent="0.25">
      <c r="A14" t="str">
        <f t="shared" si="0"/>
        <v>13</v>
      </c>
    </row>
    <row r="15" spans="1:3" x14ac:dyDescent="0.25">
      <c r="A15" t="str">
        <f t="shared" si="0"/>
        <v>14</v>
      </c>
    </row>
    <row r="16" spans="1:3" x14ac:dyDescent="0.25">
      <c r="A16" t="str">
        <f t="shared" si="0"/>
        <v>15</v>
      </c>
      <c r="B16" t="s">
        <v>17</v>
      </c>
      <c r="C16" t="s">
        <v>155</v>
      </c>
    </row>
    <row r="17" spans="1:3" x14ac:dyDescent="0.25">
      <c r="A17" t="str">
        <f t="shared" si="0"/>
        <v>16</v>
      </c>
      <c r="B17" t="str">
        <f>IFERROR(TEXT(MATCH(SEL_MES,DEF_MES,0)-1,"00"),"")</f>
        <v/>
      </c>
      <c r="C17" t="s">
        <v>17</v>
      </c>
    </row>
    <row r="18" spans="1:3" x14ac:dyDescent="0.25">
      <c r="A18" t="str">
        <f t="shared" si="0"/>
        <v>17</v>
      </c>
      <c r="B18" t="str">
        <f>IF(SEL_ANO="","","\"&amp;SEL_ANO)&amp;IF(SEL_MES="","","\"&amp;B17)&amp;IF(SEL_DIA="","","\"&amp;SEL_DIA)</f>
        <v>\2018</v>
      </c>
    </row>
    <row r="19" spans="1:3" x14ac:dyDescent="0.25">
      <c r="A19" t="str">
        <f t="shared" si="0"/>
        <v>18</v>
      </c>
      <c r="B19" t="str">
        <f>IF(SEL_ANO="","","\"&amp;SEL_ANO)&amp;IF(SEL_MES="","","-"&amp;B17)&amp;IF(DEF_REF="","","_")</f>
        <v>\2018_</v>
      </c>
    </row>
    <row r="20" spans="1:3" x14ac:dyDescent="0.25">
      <c r="A20" t="str">
        <f t="shared" si="0"/>
        <v>19</v>
      </c>
    </row>
    <row r="21" spans="1:3" x14ac:dyDescent="0.25">
      <c r="A21" t="str">
        <f t="shared" si="0"/>
        <v>20</v>
      </c>
    </row>
    <row r="22" spans="1:3" x14ac:dyDescent="0.25">
      <c r="A22" t="str">
        <f t="shared" si="0"/>
        <v>21</v>
      </c>
    </row>
    <row r="23" spans="1:3" x14ac:dyDescent="0.25">
      <c r="A23" t="str">
        <f t="shared" si="0"/>
        <v>22</v>
      </c>
    </row>
    <row r="24" spans="1:3" x14ac:dyDescent="0.25">
      <c r="A24" t="str">
        <f t="shared" si="0"/>
        <v>23</v>
      </c>
    </row>
    <row r="25" spans="1:3" x14ac:dyDescent="0.25">
      <c r="A25" t="str">
        <f t="shared" si="0"/>
        <v>24</v>
      </c>
    </row>
    <row r="26" spans="1:3" x14ac:dyDescent="0.25">
      <c r="A26" t="str">
        <f t="shared" si="0"/>
        <v>25</v>
      </c>
    </row>
    <row r="27" spans="1:3" x14ac:dyDescent="0.25">
      <c r="A27" t="str">
        <f t="shared" si="0"/>
        <v>26</v>
      </c>
    </row>
    <row r="28" spans="1:3" x14ac:dyDescent="0.25">
      <c r="A28" t="str">
        <f t="shared" si="0"/>
        <v>27</v>
      </c>
    </row>
    <row r="29" spans="1:3" x14ac:dyDescent="0.25">
      <c r="A29" t="str">
        <f t="shared" si="0"/>
        <v>28</v>
      </c>
    </row>
    <row r="30" spans="1:3" x14ac:dyDescent="0.25">
      <c r="A30" t="str">
        <f t="shared" si="0"/>
        <v>29</v>
      </c>
    </row>
    <row r="31" spans="1:3" x14ac:dyDescent="0.25">
      <c r="A31" t="str">
        <f t="shared" si="0"/>
        <v>30</v>
      </c>
    </row>
    <row r="32" spans="1:3" x14ac:dyDescent="0.25">
      <c r="A32" t="str">
        <f t="shared" si="0"/>
        <v>31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19</vt:i4>
      </vt:variant>
    </vt:vector>
  </HeadingPairs>
  <TitlesOfParts>
    <vt:vector size="22" baseType="lpstr">
      <vt:lpstr>Home</vt:lpstr>
      <vt:lpstr>Planilha1</vt:lpstr>
      <vt:lpstr>AUX</vt:lpstr>
      <vt:lpstr>DEF_ANO</vt:lpstr>
      <vt:lpstr>DEF_COL</vt:lpstr>
      <vt:lpstr>DEF_DATA</vt:lpstr>
      <vt:lpstr>DEF_DIA</vt:lpstr>
      <vt:lpstr>DEF_DUP</vt:lpstr>
      <vt:lpstr>DEF_EXP</vt:lpstr>
      <vt:lpstr>DEF_MES</vt:lpstr>
      <vt:lpstr>DEF_NUL</vt:lpstr>
      <vt:lpstr>DEF_PRE</vt:lpstr>
      <vt:lpstr>DEF_REF</vt:lpstr>
      <vt:lpstr>DEF_SQL</vt:lpstr>
      <vt:lpstr>DEF_TAM</vt:lpstr>
      <vt:lpstr>DEF_TIP</vt:lpstr>
      <vt:lpstr>DEF_TMP</vt:lpstr>
      <vt:lpstr>DEF_UNI</vt:lpstr>
      <vt:lpstr>DEF_VAL</vt:lpstr>
      <vt:lpstr>SEL_ANO</vt:lpstr>
      <vt:lpstr>SEL_DIA</vt:lpstr>
      <vt:lpstr>SEL_MES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Henrique de Castro</dc:creator>
  <cp:lastModifiedBy>Luiz Henrique de Castro Silva</cp:lastModifiedBy>
  <dcterms:created xsi:type="dcterms:W3CDTF">2021-12-05T19:49:18Z</dcterms:created>
  <dcterms:modified xsi:type="dcterms:W3CDTF">2022-07-27T22:46:33Z</dcterms:modified>
</cp:coreProperties>
</file>