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1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64ad2e4dd337b8a/Portfolio/vbaExcel/VALIDADOR/"/>
    </mc:Choice>
  </mc:AlternateContent>
  <xr:revisionPtr revIDLastSave="19" documentId="11_2407EB988AB1C7307F2B9B93F8D998AB4F85F115" xr6:coauthVersionLast="47" xr6:coauthVersionMax="47" xr10:uidLastSave="{14E74DF1-6C31-4494-94C7-D5E35BF965D6}"/>
  <bookViews>
    <workbookView xWindow="-120" yWindow="-120" windowWidth="23310" windowHeight="13740" xr2:uid="{00000000-000D-0000-FFFF-FFFF00000000}"/>
  </bookViews>
  <sheets>
    <sheet name="Home" sheetId="1" r:id="rId1"/>
    <sheet name="AUX" sheetId="4" r:id="rId2"/>
  </sheets>
  <functionGroups builtInGroupCount="19"/>
  <definedNames>
    <definedName name="DEF_ANO">AUX!$C$1:$C$13</definedName>
    <definedName name="DEF_COL">Home!$O$34</definedName>
    <definedName name="DEF_DATA">Home!$B$23</definedName>
    <definedName name="DEF_DIA">AUX!$A$1:$A$32</definedName>
    <definedName name="DEF_DUP">Home!$O$30</definedName>
    <definedName name="DEF_EXP">Home!$O$25</definedName>
    <definedName name="DEF_MES">AUX!$B$1:$B$13</definedName>
    <definedName name="DEF_NUL">Home!$O$37</definedName>
    <definedName name="DEF_PRE">AUX!$B$19</definedName>
    <definedName name="DEF_REF">AUX!$B$18</definedName>
    <definedName name="DEF_SQL">Home!$O$26</definedName>
    <definedName name="DEF_TAM">Home!$O$36</definedName>
    <definedName name="DEF_TIP">Home!$O$35</definedName>
    <definedName name="DEF_TMP">Home!$O$27</definedName>
    <definedName name="DEF_UNI">Home!$O$31</definedName>
    <definedName name="DEF_VAL">Home!$O$24</definedName>
    <definedName name="FILE_LIST">AUX!#REF!</definedName>
    <definedName name="KEYS_LIST">AUX!#REF!</definedName>
    <definedName name="SEL_ANO">AUX!$C$16</definedName>
    <definedName name="SEL_DIA">AUX!$C$17</definedName>
    <definedName name="SEL_MES">AUX!$B$16</definedName>
    <definedName name="WORK_LIST">AUX!#REF!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1" l="1"/>
  <c r="B17" i="4" l="1"/>
  <c r="B18" i="4" l="1"/>
  <c r="B19" i="4" s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2" i="4"/>
  <c r="C2" i="4"/>
  <c r="C3" i="4" s="1"/>
  <c r="C4" i="4" s="1"/>
  <c r="C5" i="4" s="1"/>
  <c r="C6" i="4" s="1"/>
  <c r="C7" i="4" s="1"/>
  <c r="C8" i="4" s="1"/>
  <c r="C9" i="4" s="1"/>
  <c r="C10" i="4" s="1"/>
  <c r="C11" i="4" s="1"/>
  <c r="C12" i="4" s="1"/>
  <c r="C13" i="4" s="1"/>
</calcChain>
</file>

<file path=xl/sharedStrings.xml><?xml version="1.0" encoding="utf-8"?>
<sst xmlns="http://schemas.openxmlformats.org/spreadsheetml/2006/main" count="277" uniqueCount="276">
  <si>
    <t>Arquivo de Layout:</t>
  </si>
  <si>
    <t>Arquivo de scripts:</t>
  </si>
  <si>
    <t>Validador de Layout</t>
  </si>
  <si>
    <t>Referência:</t>
  </si>
  <si>
    <t>Dia:</t>
  </si>
  <si>
    <t>Ano:</t>
  </si>
  <si>
    <t>Mês: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</si>
  <si>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</si>
  <si>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</si>
  <si>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</si>
  <si>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</si>
  <si>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</si>
  <si>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</si>
  <si>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</si>
  <si>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</si>
  <si>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</si>
  <si>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</si>
  <si>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</si>
  <si>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</si>
  <si>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Pasta de Origem das Bases:</t>
  </si>
  <si>
    <t>Pasta de Destino das Bases:</t>
  </si>
  <si>
    <t/>
  </si>
  <si>
    <t>S:\02-BASES\05-SISREG\00-ANTERIORES\2011\01\2011-01_SOLICITADAS_BHZ.xlsx</t>
  </si>
  <si>
    <t>S:\02-BASES\05-SISREG\00-ANTERIORES\2011\01\2011-01_SOLICITADAS_INT.xlsx</t>
  </si>
  <si>
    <t>S:\02-BASES\05-SISREG\00-ANTERIORES\2011\02\2011-02_SOLICITADAS_BHZ.xlsx</t>
  </si>
  <si>
    <t>S:\02-BASES\05-SISREG\00-ANTERIORES\2011\02\2011-02_SOLICITADAS_INT.xlsx</t>
  </si>
  <si>
    <t>S:\02-BASES\05-SISREG\00-ANTERIORES\2011\03\2011-03_SOLICITADAS_BHZ.xlsx</t>
  </si>
  <si>
    <t>S:\02-BASES\05-SISREG\00-ANTERIORES\2011\03\2011-03_SOLICITADAS_INT.xlsx</t>
  </si>
  <si>
    <t>S:\02-BASES\05-SISREG\00-ANTERIORES\2011\04\2011-04_SOLICITADAS_BHZ.xlsx</t>
  </si>
  <si>
    <t>S:\02-BASES\05-SISREG\00-ANTERIORES\2011\04\2011-04_SOLICITADAS_INT.xlsx</t>
  </si>
  <si>
    <t>S:\02-BASES\05-SISREG\00-ANTERIORES\2011\05\2011-05_SOLICITADAS_BHZ.xlsx</t>
  </si>
  <si>
    <t>S:\02-BASES\05-SISREG\00-ANTERIORES\2011\05\2011-05_SOLICITADAS_INT.xlsx</t>
  </si>
  <si>
    <t>S:\02-BASES\05-SISREG\00-ANTERIORES\2011\06\2011-06_SOLICITADAS_BHZ.xlsx</t>
  </si>
  <si>
    <t>S:\02-BASES\05-SISREG\00-ANTERIORES\2011\06\2011-06_SOLICITADAS_INT.xlsx</t>
  </si>
  <si>
    <t>S:\02-BASES\05-SISREG\00-ANTERIORES\2011\07\2011-07_SOLICITADAS_BHZ.xlsx</t>
  </si>
  <si>
    <t>S:\02-BASES\05-SISREG\00-ANTERIORES\2011\07\2011-07_SOLICITADAS_INT.xlsx</t>
  </si>
  <si>
    <t>S:\02-BASES\05-SISREG\00-ANTERIORES\2011\08\2011-08_SOLICITADAS_BHZ.xlsx</t>
  </si>
  <si>
    <t>S:\02-BASES\05-SISREG\00-ANTERIORES\2011\08\2011-08_SOLICITADAS_INT.xlsx</t>
  </si>
  <si>
    <t>S:\02-BASES\05-SISREG\00-ANTERIORES\2011\09\2011-09_SOLICITADAS_BHZ.xlsx</t>
  </si>
  <si>
    <t>S:\02-BASES\05-SISREG\00-ANTERIORES\2011\09\2011-09_SOLICITADAS_INT.xlsx</t>
  </si>
  <si>
    <t>S:\02-BASES\05-SISREG\00-ANTERIORES\2011\10\2011-10_SOLICITADAS_BHZ.xlsx</t>
  </si>
  <si>
    <t>S:\02-BASES\05-SISREG\00-ANTERIORES\2011\10\2011-10_SOLICITADAS_INT.xlsx</t>
  </si>
  <si>
    <t>S:\02-BASES\05-SISREG\00-ANTERIORES\2011\11\2011-11_SOLICITADAS_BHZ.xlsx</t>
  </si>
  <si>
    <t>S:\02-BASES\05-SISREG\00-ANTERIORES\2011\11\2011-11_SOLICITADAS_INT.xlsx</t>
  </si>
  <si>
    <t>S:\02-BASES\05-SISREG\00-ANTERIORES\2011\12\2011-12_SOLICITADAS_BHZ.xlsx</t>
  </si>
  <si>
    <t>S:\02-BASES\05-SISREG\00-ANTERIORES\2011\12\2011-12_SOLICITADAS_INT.xlsx</t>
  </si>
  <si>
    <t>EXECUTADO COM SUCESSO</t>
  </si>
  <si>
    <t>Remover Duplicatas</t>
  </si>
  <si>
    <t>Verificar Duplicatas</t>
  </si>
  <si>
    <t>Verificar Tipo</t>
  </si>
  <si>
    <t>Verificar Tamanho</t>
  </si>
  <si>
    <t>Verificar Nulos</t>
  </si>
  <si>
    <t>DUPLICATAS</t>
  </si>
  <si>
    <t>COLUNAS</t>
  </si>
  <si>
    <t>Verificar Colunas</t>
  </si>
  <si>
    <t>ARQUIVOS</t>
  </si>
  <si>
    <t>Validar</t>
  </si>
  <si>
    <t>Limpar Temporários</t>
  </si>
  <si>
    <t>Exportar para TXT</t>
  </si>
  <si>
    <t>Atualizar Servidor SQL</t>
  </si>
  <si>
    <t>S:\02-BASES\05-SISREG\00-ANTERIORES\2012\01\2012-01_SOLICITADAS_BHZ.xlsx</t>
  </si>
  <si>
    <t>S:\02-BASES\05-SISREG\00-ANTERIORES\2012\01\2012-01_SOLICITADAS_INT.xlsx</t>
  </si>
  <si>
    <t>S:\02-BASES\05-SISREG\00-ANTERIORES\2012\02\2012-02_SOLICITADAS_BHZ.xlsx</t>
  </si>
  <si>
    <t>S:\02-BASES\05-SISREG\00-ANTERIORES\2012\02\2012-02_SOLICITADAS_INT.xlsx</t>
  </si>
  <si>
    <t>S:\02-BASES\05-SISREG\00-ANTERIORES\2012\03\2012-03_SOLICITADAS_BHZ.xlsx</t>
  </si>
  <si>
    <t>S:\02-BASES\05-SISREG\00-ANTERIORES\2012\03\2012-03_SOLICITADAS_INT.xlsx</t>
  </si>
  <si>
    <t>S:\02-BASES\05-SISREG\00-ANTERIORES\2012\04\2012-04_SOLICITADAS_BHZ.xlsx</t>
  </si>
  <si>
    <t>S:\02-BASES\05-SISREG\00-ANTERIORES\2012\04\2012-04_SOLICITADAS_INT.xlsx</t>
  </si>
  <si>
    <t>S:\02-BASES\05-SISREG\00-ANTERIORES\2012\05\2012-05_SOLICITADAS_BHZ.xlsx</t>
  </si>
  <si>
    <t>S:\02-BASES\05-SISREG\00-ANTERIORES\2012\05\2012-05_SOLICITADAS_INT.xlsx</t>
  </si>
  <si>
    <t>S:\02-BASES\05-SISREG\00-ANTERIORES\2012\06\2012-06_SOLICITADAS_BHZ.xlsx</t>
  </si>
  <si>
    <t>S:\02-BASES\05-SISREG\00-ANTERIORES\2012\06\2012-06_SOLICITADAS_INT.xlsx</t>
  </si>
  <si>
    <t>S:\02-BASES\05-SISREG\00-ANTERIORES\2012\07\2012-07_SOLICITADAS_BHZ.xlsx</t>
  </si>
  <si>
    <t>S:\02-BASES\05-SISREG\00-ANTERIORES\2012\07\2012-07_SOLICITADAS_INT.xlsx</t>
  </si>
  <si>
    <t>S:\02-BASES\05-SISREG\00-ANTERIORES\2012\08\2012-08_SOLICITADAS_BHZ.xlsx</t>
  </si>
  <si>
    <t>S:\02-BASES\05-SISREG\00-ANTERIORES\2012\08\2012-08_SOLICITADAS_INT.xlsx</t>
  </si>
  <si>
    <t>S:\02-BASES\05-SISREG\00-ANTERIORES\2012\09\2012-09_SOLICITADAS_BHZ.xlsx</t>
  </si>
  <si>
    <t>S:\02-BASES\05-SISREG\00-ANTERIORES\2012\09\2012-09_SOLICITADAS_INT.xlsx</t>
  </si>
  <si>
    <t>S:\02-BASES\05-SISREG\00-ANTERIORES\2012\10\2012-10_SOLICITADAS_BHZ.xlsx</t>
  </si>
  <si>
    <t>S:\02-BASES\05-SISREG\00-ANTERIORES\2012\10\2012-10_SOLICITADAS_INT.xlsx</t>
  </si>
  <si>
    <t>S:\02-BASES\05-SISREG\00-ANTERIORES\2012\11\2012-11_SOLICITADAS_BHZ.xlsx</t>
  </si>
  <si>
    <t>S:\02-BASES\05-SISREG\00-ANTERIORES\2012\11\2012-11_SOLICITADAS_INT.xlsx</t>
  </si>
  <si>
    <t>S:\02-BASES\05-SISREG\00-ANTERIORES\2012\12\2012-12_SOLICITADAS_BHZ.xlsx</t>
  </si>
  <si>
    <t>S:\02-BASES\05-SISREG\00-ANTERIORES\2012\12\2012-12_SOLICITADAS_INT.xlsx</t>
  </si>
  <si>
    <t>S:\02-BASES\05-SISREG\00-ANTERIORES\2013\01\2013-01_SOLICITADAS_BHZ.xlsx</t>
  </si>
  <si>
    <t>S:\02-BASES\05-SISREG\00-ANTERIORES\2013\01\2013-01_SOLICITADAS_INT.xlsx</t>
  </si>
  <si>
    <t>S:\02-BASES\05-SISREG\00-ANTERIORES\2013\02\2013-02_SOLICITADAS_BHZ.xlsx</t>
  </si>
  <si>
    <t>S:\02-BASES\05-SISREG\00-ANTERIORES\2013\02\2013-02_SOLICITADAS_INT.xlsx</t>
  </si>
  <si>
    <t>S:\02-BASES\05-SISREG\00-ANTERIORES\2013\03\2013-03_SOLICITADAS_BHZ.xlsx</t>
  </si>
  <si>
    <t>S:\02-BASES\05-SISREG\00-ANTERIORES\2013\03\2013-03_SOLICITADAS_INT.xlsx</t>
  </si>
  <si>
    <t>S:\02-BASES\05-SISREG\00-ANTERIORES\2013\04\2013-04_SOLICITADAS_BHZ.xlsx</t>
  </si>
  <si>
    <t>S:\02-BASES\05-SISREG\00-ANTERIORES\2013\04\2013-04_SOLICITADAS_INT.xlsx</t>
  </si>
  <si>
    <t>S:\02-BASES\05-SISREG\00-ANTERIORES\2013\05\2013-05_SOLICITADAS_BHZ.xlsx</t>
  </si>
  <si>
    <t>S:\02-BASES\05-SISREG\00-ANTERIORES\2013\05\2013-05_SOLICITADAS_INT.xlsx</t>
  </si>
  <si>
    <t>S:\02-BASES\05-SISREG\00-ANTERIORES\2013\06\2013-06_SOLICITADAS_BHZ.xlsx</t>
  </si>
  <si>
    <t>S:\02-BASES\05-SISREG\00-ANTERIORES\2013\06\2013-06_SOLICITADAS_INT.xlsx</t>
  </si>
  <si>
    <t>S:\02-BASES\05-SISREG\00-ANTERIORES\2013\07\2013-07_SOLICITADAS_BHZ.xlsx</t>
  </si>
  <si>
    <t>S:\02-BASES\05-SISREG\00-ANTERIORES\2013\07\2013-07_SOLICITADAS_INT.xlsx</t>
  </si>
  <si>
    <t>S:\02-BASES\05-SISREG\00-ANTERIORES\2013\08\2013-08_SOLICITADAS_BHZ.xlsx</t>
  </si>
  <si>
    <t>S:\02-BASES\05-SISREG\00-ANTERIORES\2013\08\2013-08_SOLICITADAS_INT.xlsx</t>
  </si>
  <si>
    <t>S:\02-BASES\05-SISREG\00-ANTERIORES\2013\09\2013-09_SOLICITADAS_BHZ.xlsx</t>
  </si>
  <si>
    <t>S:\02-BASES\05-SISREG\00-ANTERIORES\2013\09\2013-09_SOLICITADAS_INT.xlsx</t>
  </si>
  <si>
    <t>S:\02-BASES\05-SISREG\00-ANTERIORES\2013\10\2013-10_SOLICITADAS_BHZ.xlsx</t>
  </si>
  <si>
    <t>S:\02-BASES\05-SISREG\00-ANTERIORES\2013\10\2013-10_SOLICITADAS_INT.xlsx</t>
  </si>
  <si>
    <t>S:\02-BASES\05-SISREG\00-ANTERIORES\2013\11\2013-11_SOLICITADAS_BHZ.xlsx</t>
  </si>
  <si>
    <t>S:\02-BASES\05-SISREG\00-ANTERIORES\2013\11\2013-11_SOLICITADAS_INT.xlsx</t>
  </si>
  <si>
    <t>S:\02-BASES\05-SISREG\00-ANTERIORES\2013\12\2013-12_SOLICITADAS_BHZ.xlsx</t>
  </si>
  <si>
    <t>S:\02-BASES\05-SISREG\00-ANTERIORES\2013\12\2013-12_SOLICITADAS_INT.xlsx</t>
  </si>
  <si>
    <t>S:\02-BASES\05-SISREG\00-ANTERIORES\2014\01\2014-01_SOLICITADAS_BHZ.xlsx</t>
  </si>
  <si>
    <t>S:\02-BASES\05-SISREG\00-ANTERIORES\2014\01\2014-01_SOLICITADAS_INT.xlsx</t>
  </si>
  <si>
    <t>S:\02-BASES\05-SISREG\00-ANTERIORES\2014\02\2014-02_SOLICITADAS_BHZ.xlsx</t>
  </si>
  <si>
    <t>S:\02-BASES\05-SISREG\00-ANTERIORES\2014\02\2014-02_SOLICITADAS_INT.xlsx</t>
  </si>
  <si>
    <t>S:\02-BASES\05-SISREG\00-ANTERIORES\2014\03\2014-03_SOLICITADAS_BHZ.xlsx</t>
  </si>
  <si>
    <t>S:\02-BASES\05-SISREG\00-ANTERIORES\2014\03\2014-03_SOLICITADAS_INT.xlsx</t>
  </si>
  <si>
    <t>S:\02-BASES\05-SISREG\00-ANTERIORES\2014\04\2014-04_SOLICITADAS_BHZ.xlsx</t>
  </si>
  <si>
    <t>S:\02-BASES\05-SISREG\00-ANTERIORES\2014\04\2014-04_SOLICITADAS_INT.xlsx</t>
  </si>
  <si>
    <t>S:\02-BASES\05-SISREG\00-ANTERIORES\2014\05\2014-05_SOLICITADAS_BHZ.xlsx</t>
  </si>
  <si>
    <t>S:\02-BASES\05-SISREG\00-ANTERIORES\2014\05\2014-05_SOLICITADAS_INT.xlsx</t>
  </si>
  <si>
    <t>S:\02-BASES\05-SISREG\00-ANTERIORES\2014\06\2014-06_SOLICITADAS_BHZ.xlsx</t>
  </si>
  <si>
    <t>S:\02-BASES\05-SISREG\00-ANTERIORES\2014\06\2014-06_SOLICITADAS_INT.xlsx</t>
  </si>
  <si>
    <t>S:\02-BASES\05-SISREG\00-ANTERIORES\2014\07\2014-07_SOLICITADAS_BHZ.xlsx</t>
  </si>
  <si>
    <t>S:\02-BASES\05-SISREG\00-ANTERIORES\2014\07\2014-07_SOLICITADAS_INT.xlsx</t>
  </si>
  <si>
    <t>S:\02-BASES\05-SISREG\00-ANTERIORES\2014\08\2014-08_SOLICITADAS_BHZ.xlsx</t>
  </si>
  <si>
    <t>S:\02-BASES\05-SISREG\00-ANTERIORES\2014\08\2014-08_SOLICITADAS_INT.xlsx</t>
  </si>
  <si>
    <t>S:\02-BASES\05-SISREG\00-ANTERIORES\2014\09\2014-09_SOLICITADAS_BHZ.xlsx</t>
  </si>
  <si>
    <t>S:\02-BASES\05-SISREG\00-ANTERIORES\2014\09\2014-09_SOLICITADAS_INT.xlsx</t>
  </si>
  <si>
    <t>S:\02-BASES\05-SISREG\00-ANTERIORES\2014\10\2014-10_SOLICITADAS_BHZ.xlsx</t>
  </si>
  <si>
    <t>S:\02-BASES\05-SISREG\00-ANTERIORES\2014\10\2014-10_SOLICITADAS_INT.xlsx</t>
  </si>
  <si>
    <t>S:\02-BASES\05-SISREG\00-ANTERIORES\2014\11\2014-11_SOLICITADAS_BHZ.xlsx</t>
  </si>
  <si>
    <t>S:\02-BASES\05-SISREG\00-ANTERIORES\2014\11\2014-11_SOLICITADAS_INT.xlsx</t>
  </si>
  <si>
    <t>S:\02-BASES\05-SISREG\00-ANTERIORES\2014\12\2014-12_SOLICITADAS_BHZ.xlsx</t>
  </si>
  <si>
    <t>S:\02-BASES\05-SISREG\00-ANTERIORES\2014\12\2014-12_SOLICITADAS_INT.xlsx</t>
  </si>
  <si>
    <t>S:\02-BASES\05-SISREG\00-ANTERIORES\2015\01\2015-01_SOLICITADAS_BHZ.xlsx</t>
  </si>
  <si>
    <t>S:\02-BASES\05-SISREG\00-ANTERIORES\2015\01\2015-01_SOLICITADAS_INT.xlsx</t>
  </si>
  <si>
    <t>S:\02-BASES\05-SISREG\00-ANTERIORES\2015\02\2015-02_SOLICITADAS_BHZ.xlsx</t>
  </si>
  <si>
    <t>S:\02-BASES\05-SISREG\00-ANTERIORES\2015\02\2015-02_SOLICITADAS_INT.xlsx</t>
  </si>
  <si>
    <t>S:\02-BASES\05-SISREG\00-ANTERIORES\2015\03\2015-03_SOLICITADAS_BHZ.xlsx</t>
  </si>
  <si>
    <t>S:\02-BASES\05-SISREG\00-ANTERIORES\2015\03\2015-03_SOLICITADAS_INT.xlsx</t>
  </si>
  <si>
    <t>S:\02-BASES\05-SISREG\00-ANTERIORES\2015\04\2015-04_SOLICITADAS_BHZ.xlsx</t>
  </si>
  <si>
    <t>S:\02-BASES\05-SISREG\00-ANTERIORES\2015\04\2015-04_SOLICITADAS_INT.xlsx</t>
  </si>
  <si>
    <t>S:\02-BASES\05-SISREG\00-ANTERIORES\2015\05\2015-05_SOLICITADAS_BHZ.xlsx</t>
  </si>
  <si>
    <t>S:\02-BASES\05-SISREG\00-ANTERIORES\2015\05\2015-05_SOLICITADAS_INT.xlsx</t>
  </si>
  <si>
    <t>S:\02-BASES\05-SISREG\00-ANTERIORES\2015\06\2015-06_SOLICITADAS_BHZ.xlsx</t>
  </si>
  <si>
    <t>S:\02-BASES\05-SISREG\00-ANTERIORES\2015\06\2015-06_SOLICITADAS_INT.xlsx</t>
  </si>
  <si>
    <t>S:\02-BASES\05-SISREG\00-ANTERIORES\2015\07\2015-07_SOLICITADAS_BHZ.xlsx</t>
  </si>
  <si>
    <t>S:\02-BASES\05-SISREG\00-ANTERIORES\2015\07\2015-07_SOLICITADAS_INT.xlsx</t>
  </si>
  <si>
    <t>S:\02-BASES\05-SISREG\00-ANTERIORES\2015\08\2015-08_SOLICITADAS_BHZ.xlsx</t>
  </si>
  <si>
    <t>S:\02-BASES\05-SISREG\00-ANTERIORES\2015\08\2015-08_SOLICITADAS_INT.xlsx</t>
  </si>
  <si>
    <t>S:\02-BASES\05-SISREG\00-ANTERIORES\2015\09\2015-09_SOLICITADAS_BHZ.xlsx</t>
  </si>
  <si>
    <t>S:\02-BASES\05-SISREG\00-ANTERIORES\2015\09\2015-09_SOLICITADAS_INT.xlsx</t>
  </si>
  <si>
    <t>S:\02-BASES\05-SISREG\00-ANTERIORES\2015\10\2015-10_SOLICITADAS_BHZ.xlsx</t>
  </si>
  <si>
    <t>S:\02-BASES\05-SISREG\00-ANTERIORES\2015\10\2015-10_SOLICITADAS_INT.xlsx</t>
  </si>
  <si>
    <t>S:\02-BASES\05-SISREG\00-ANTERIORES\2015\11\2015-11_SOLICITADAS_BHZ.xlsx</t>
  </si>
  <si>
    <t>S:\02-BASES\05-SISREG\00-ANTERIORES\2015\11\2015-11_SOLICITADAS_INT.xlsx</t>
  </si>
  <si>
    <t>S:\02-BASES\05-SISREG\00-ANTERIORES\2015\12\2015-12_SOLICITADAS_BHZ.xlsx</t>
  </si>
  <si>
    <t>S:\02-BASES\05-SISREG\00-ANTERIORES\2015\12\2015-12_SOLICITADAS_INT.xlsx</t>
  </si>
  <si>
    <t>S:\02-BASES\05-SISREG\00-ANTERIORES\2016\01\2016-01_SOLICITADAS_BHZ.xlsx</t>
  </si>
  <si>
    <t>S:\02-BASES\05-SISREG\00-ANTERIORES\2016\01\2016-01_SOLICITADAS_INT.xlsx</t>
  </si>
  <si>
    <t>S:\02-BASES\05-SISREG\00-ANTERIORES\2016\02\2016-02_SOLICITADAS_BHZ.xlsx</t>
  </si>
  <si>
    <t>S:\02-BASES\05-SISREG\00-ANTERIORES\2016\02\2016-02_SOLICITADAS_INT.xlsx</t>
  </si>
  <si>
    <t>S:\02-BASES\05-SISREG\00-ANTERIORES\2016\03\2016-03_SOLICITADAS_BHZ.xlsx</t>
  </si>
  <si>
    <t>S:\02-BASES\05-SISREG\00-ANTERIORES\2016\03\2016-03_SOLICITADAS_INT.xlsx</t>
  </si>
  <si>
    <t>S:\02-BASES\05-SISREG\00-ANTERIORES\2016\04\2016-04_SOLICITADAS_BHZ.xlsx</t>
  </si>
  <si>
    <t>S:\02-BASES\05-SISREG\00-ANTERIORES\2016\04\2016-04_SOLICITADAS_INT.xlsx</t>
  </si>
  <si>
    <t>S:\02-BASES\05-SISREG\00-ANTERIORES\2016\05\2016-05_SOLICITADAS_BHZ.xlsx</t>
  </si>
  <si>
    <t>S:\02-BASES\05-SISREG\00-ANTERIORES\2016\05\2016-05_SOLICITADAS_INT.xlsx</t>
  </si>
  <si>
    <t>S:\02-BASES\05-SISREG\00-ANTERIORES\2016\06\2016-06_SOLICITADAS_BHZ.xlsx</t>
  </si>
  <si>
    <t>S:\02-BASES\05-SISREG\00-ANTERIORES\2016\06\2016-06_SOLICITADAS_INT.xlsx</t>
  </si>
  <si>
    <t>S:\02-BASES\05-SISREG\00-ANTERIORES\2016\07\2016-07_SOLICITADAS_BHZ.xlsx</t>
  </si>
  <si>
    <t>S:\02-BASES\05-SISREG\00-ANTERIORES\2016\07\2016-07_SOLICITADAS_INT.xlsx</t>
  </si>
  <si>
    <t>S:\02-BASES\05-SISREG\00-ANTERIORES\2016\08\2016-08_SOLICITADAS_BHZ.xlsx</t>
  </si>
  <si>
    <t>S:\02-BASES\05-SISREG\00-ANTERIORES\2016\08\2016-08_SOLICITADAS_INT.xlsx</t>
  </si>
  <si>
    <t>S:\02-BASES\05-SISREG\00-ANTERIORES\2016\09\2016-09_SOLICITADAS_BHZ.xlsx</t>
  </si>
  <si>
    <t>S:\02-BASES\05-SISREG\00-ANTERIORES\2016\09\2016-09_SOLICITADAS_INT.xlsx</t>
  </si>
  <si>
    <t>S:\02-BASES\05-SISREG\00-ANTERIORES\2016\10\2016-10_SOLICITADAS_BHZ.xlsx</t>
  </si>
  <si>
    <t>S:\02-BASES\05-SISREG\00-ANTERIORES\2016\10\2016-10_SOLICITADAS_INT.xlsx</t>
  </si>
  <si>
    <t>S:\02-BASES\05-SISREG\00-ANTERIORES\2016\11\2016-11_SOLICITADAS_BHZ.xlsx</t>
  </si>
  <si>
    <t>S:\02-BASES\05-SISREG\00-ANTERIORES\2016\11\2016-11_SOLICITADAS_INT.xlsx</t>
  </si>
  <si>
    <t>S:\02-BASES\05-SISREG\00-ANTERIORES\2016\12\2016-12_SOLICITADAS_BHZ.xlsx</t>
  </si>
  <si>
    <t>S:\02-BASES\05-SISREG\00-ANTERIORES\2016\12\2016-12_SOLICITADAS_INT.xlsx</t>
  </si>
  <si>
    <t>S:\02-BASES\05-SISREG\00-ANTERIORES\2017\01\2017-01_SOLICITADAS_BHZ.xlsx</t>
  </si>
  <si>
    <t>S:\02-BASES\05-SISREG\00-ANTERIORES\2017\01\2017-01_SOLICITADAS_INT.xlsx</t>
  </si>
  <si>
    <t>S:\02-BASES\05-SISREG\00-ANTERIORES\2017\02\2017-02_SOLICITADAS_BHZ.xlsx</t>
  </si>
  <si>
    <t>S:\02-BASES\05-SISREG\00-ANTERIORES\2017\02\2017-02_SOLICITADAS_INT.xlsx</t>
  </si>
  <si>
    <t>S:\02-BASES\05-SISREG\00-ANTERIORES\2017\03\2017-03_SOLICITADAS_BHZ.xlsx</t>
  </si>
  <si>
    <t>S:\02-BASES\05-SISREG\00-ANTERIORES\2017\03\2017-03_SOLICITADAS_INT.xlsx</t>
  </si>
  <si>
    <t>S:\02-BASES\05-SISREG\00-ANTERIORES\2017\04\2017-04_SOLICITADAS_BHZ.xlsx</t>
  </si>
  <si>
    <t>S:\02-BASES\05-SISREG\00-ANTERIORES\2017\04\2017-04_SOLICITADAS_INT.xlsx</t>
  </si>
  <si>
    <t>S:\02-BASES\05-SISREG\00-ANTERIORES\2017\05\2017-05_SOLICITADAS_BHZ.xlsx</t>
  </si>
  <si>
    <t>S:\02-BASES\05-SISREG\00-ANTERIORES\2017\05\2017-05_SOLICITADAS_INT.xlsx</t>
  </si>
  <si>
    <t>S:\02-BASES\05-SISREG\00-ANTERIORES\2017\06\2017-06_SOLICITADAS_BHZ.xlsx</t>
  </si>
  <si>
    <t>S:\02-BASES\05-SISREG\00-ANTERIORES\2017\06\2017-06_SOLICITADAS_INT.xlsx</t>
  </si>
  <si>
    <t>S:\02-BASES\05-SISREG\00-ANTERIORES\2017\07\2017-07_SOLICITADAS_BHZ.xlsx</t>
  </si>
  <si>
    <t>S:\02-BASES\05-SISREG\00-ANTERIORES\2017\07\2017-07_SOLICITADAS_INT.xlsx</t>
  </si>
  <si>
    <t>S:\02-BASES\05-SISREG\00-ANTERIORES\2017\08\2017-08_SOLICITADAS_BHZ.xlsx</t>
  </si>
  <si>
    <t>S:\02-BASES\05-SISREG\00-ANTERIORES\2017\08\2017-08_SOLICITADAS_INT.xlsx</t>
  </si>
  <si>
    <t>S:\02-BASES\05-SISREG\00-ANTERIORES\2017\09\2017-09_SOLICITADAS_BHZ.xlsx</t>
  </si>
  <si>
    <t>S:\02-BASES\05-SISREG\00-ANTERIORES\2017\09\2017-09_SOLICITADAS_INT.xlsx</t>
  </si>
  <si>
    <t>S:\02-BASES\05-SISREG\00-ANTERIORES\2017\10\2017-10_SOLICITADAS_BHZ.xlsx</t>
  </si>
  <si>
    <t>S:\02-BASES\05-SISREG\00-ANTERIORES\2017\10\2017-10_SOLICITADAS_INT.xlsx</t>
  </si>
  <si>
    <t>S:\02-BASES\05-SISREG\00-ANTERIORES\2017\11\2017-11_SOLICITADAS_BHZ.xlsx</t>
  </si>
  <si>
    <t>S:\02-BASES\05-SISREG\00-ANTERIORES\2017\11\2017-11_SOLICITADAS_INT.xlsx</t>
  </si>
  <si>
    <t>S:\02-BASES\05-SISREG\00-ANTERIORES\2017\12\2017-12_SOLICITADAS_BHZ.xlsx</t>
  </si>
  <si>
    <t>S:\02-BASES\05-SISREG\00-ANTERIORES\2017\12\2017-12_SOLICITADAS_INT.xlsx</t>
  </si>
  <si>
    <t>S:\02-BASES\05-SISREG\00-ANTERIORES\2018\01\2018-01_SOLICITADAS_BHZ.xlsx</t>
  </si>
  <si>
    <t>S:\02-BASES\05-SISREG\00-ANTERIORES\2018\01\2018-01_SOLICITADAS_INT.xlsx</t>
  </si>
  <si>
    <t>S:\02-BASES\05-SISREG\00-ANTERIORES\2018\02\2018-02_SOLICITADAS_BHZ.xlsx</t>
  </si>
  <si>
    <t>S:\02-BASES\05-SISREG\00-ANTERIORES\2018\02\2018-02_SOLICITADAS_INT.xlsx</t>
  </si>
  <si>
    <t>S:\02-BASES\05-SISREG\00-ANTERIORES\2018\03\2018-03_SOLICITADAS_BHZ.xlsx</t>
  </si>
  <si>
    <t>S:\02-BASES\05-SISREG\00-ANTERIORES\2018\03\2018-03_SOLICITADAS_INT.xlsx</t>
  </si>
  <si>
    <t>S:\02-BASES\05-SISREG\00-ANTERIORES\2018\04\2018-04_SOLICITADAS_BHZ.xlsx</t>
  </si>
  <si>
    <t>S:\02-BASES\05-SISREG\00-ANTERIORES\2018\04\2018-04_SOLICITADAS_INT.xlsx</t>
  </si>
  <si>
    <t>S:\02-BASES\05-SISREG\00-ANTERIORES\2018\05\2018-05_SOLICITADAS_BHZ.xlsx</t>
  </si>
  <si>
    <t>S:\02-BASES\05-SISREG\00-ANTERIORES\2018\05\2018-05_SOLICITADAS_INT.xlsx</t>
  </si>
  <si>
    <t>S:\02-BASES\05-SISREG\00-ANTERIORES\2018\06\2018-06_SOLICITADAS_BHZ.xlsx</t>
  </si>
  <si>
    <t>S:\02-BASES\05-SISREG\00-ANTERIORES\2018\06\2018-06_SOLICITADAS_INT.xlsx</t>
  </si>
  <si>
    <t>S:\02-BASES\05-SISREG\00-ANTERIORES\2018\07\2018-07_SOLICITADAS_BHZ.xlsx</t>
  </si>
  <si>
    <t>S:\02-BASES\05-SISREG\00-ANTERIORES\2018\07\2018-07_SOLICITADAS_INT.xlsx</t>
  </si>
  <si>
    <t>S:\02-BASES\05-SISREG\00-ANTERIORES\2018\08\2018-08_SOLICITADAS_BHZ.xlsx</t>
  </si>
  <si>
    <t>S:\02-BASES\05-SISREG\00-ANTERIORES\2018\08\2018-08_SOLICITADAS_INT.xlsx</t>
  </si>
  <si>
    <t>S:\02-BASES\05-SISREG\00-ANTERIORES\2018\09\2018-09_SOLICITADAS_BHZ.xlsx</t>
  </si>
  <si>
    <t>S:\02-BASES\05-SISREG\00-ANTERIORES\2018\09\2018-09_SOLICITADAS_INT.xlsx</t>
  </si>
  <si>
    <t>S:\02-BASES\05-SISREG\00-ANTERIORES\2018\10\2018-10_SOLICITADAS_BHZ.xlsx</t>
  </si>
  <si>
    <t>S:\02-BASES\05-SISREG\00-ANTERIORES\2018\10\2018-10_SOLICITADAS_INT.xlsx</t>
  </si>
  <si>
    <t>S:\02-BASES\05-SISREG\00-ANTERIORES\2018\11\2018-11_SOLICITADAS_BHZ.xlsx</t>
  </si>
  <si>
    <t>S:\02-BASES\05-SISREG\00-ANTERIORES\2018\11\2018-11_SOLICITADAS_INT.xlsx</t>
  </si>
  <si>
    <t>S:\02-BASES\05-SISREG\00-ANTERIORES\2018\12\2018-12_SOLICITADAS_BHZ.xlsx</t>
  </si>
  <si>
    <t>S:\02-BASES\05-SISREG\00-ANTERIORES\2018\12\2018-12_SOLICITADAS_INT.xlsx</t>
  </si>
  <si>
    <t>S:\02-BASES\05-SISREG\00-ANTERIORES\2019\01\2019-01_SOLICITADAS_BHZ.xlsx</t>
  </si>
  <si>
    <t>S:\02-BASES\05-SISREG\00-ANTERIORES\2019\01\2019-01_SOLICITADAS_INT.xlsx</t>
  </si>
  <si>
    <t>S:\02-BASES\05-SISREG\00-ANTERIORES\2019\02\2019-02_SOLICITADAS_BHZ.xlsx</t>
  </si>
  <si>
    <t>S:\02-BASES\05-SISREG\00-ANTERIORES\2019\02\2019-02_SOLICITADAS_INT.xlsx</t>
  </si>
  <si>
    <t>S:\02-BASES\05-SISREG\00-ANTERIORES\2019\03\2019-03_SOLICITADAS_BHZ.xlsx</t>
  </si>
  <si>
    <t>S:\02-BASES\05-SISREG\00-ANTERIORES\2019\03\2019-03_SOLICITADAS_INT.xlsx</t>
  </si>
  <si>
    <t>S:\02-BASES\05-SISREG\00-ANTERIORES\2019\04\2019-04_SOLICITADAS_BHZ.xlsx</t>
  </si>
  <si>
    <t>S:\02-BASES\05-SISREG\00-ANTERIORES\2019\04\2019-04_SOLICITADAS_INT.xlsx</t>
  </si>
  <si>
    <t>S:\02-BASES\05-SISREG\00-ANTERIORES\2019\05\2019-05_SOLICITADAS_BHZ.xlsx</t>
  </si>
  <si>
    <t>S:\02-BASES\05-SISREG\00-ANTERIORES\2019\05\2019-05_SOLICITADAS_INT.xlsx</t>
  </si>
  <si>
    <t>S:\02-BASES\05-SISREG\00-ANTERIORES\2019\06\2019-06_SOLICITADAS_BHZ.xlsx</t>
  </si>
  <si>
    <t>S:\02-BASES\05-SISREG\00-ANTERIORES\2019\06\2019-06_SOLICITADAS_INT.xlsx</t>
  </si>
  <si>
    <t>S:\02-BASES\05-SISREG\00-ANTERIORES\2019\07\2019-07_SOLICITADAS_BHZ.xlsx</t>
  </si>
  <si>
    <t>S:\02-BASES\05-SISREG\00-ANTERIORES\2019\07\2019-07_SOLICITADAS_INT.xlsx</t>
  </si>
  <si>
    <t>S:\02-BASES\05-SISREG\00-ANTERIORES\2019\08\2019-08_SOLICITADAS_BHZ.xlsx</t>
  </si>
  <si>
    <t>S:\02-BASES\05-SISREG\00-ANTERIORES\2019\08\2019-08_SOLICITADAS_INT.xlsx</t>
  </si>
  <si>
    <t>S:\02-BASES\05-SISREG\00-ANTERIORES\2019\09\2019-09_SOLICITADAS_BHZ.xlsx</t>
  </si>
  <si>
    <t>S:\02-BASES\05-SISREG\00-ANTERIORES\2019\09\2019-09_SOLICITADAS_INT.xlsx</t>
  </si>
  <si>
    <t>S:\02-BASES\05-SISREG\00-ANTERIORES\2019\10\2019-10_SOLICITADAS_BHZ.xlsx</t>
  </si>
  <si>
    <t>S:\02-BASES\05-SISREG\00-ANTERIORES\2019\10\2019-10_SOLICITADAS_INT.xlsx</t>
  </si>
  <si>
    <t>S:\02-BASES\05-SISREG\00-ANTERIORES\2019\11\2019-11_SOLICITADAS_BHZ.xlsx</t>
  </si>
  <si>
    <t>S:\02-BASES\05-SISREG\00-ANTERIORES\2019\11\2019-11_SOLICITADAS_INT.xlsx</t>
  </si>
  <si>
    <t>S:\02-BASES\05-SISREG\00-ANTERIORES\2019\12\2019-12_SOLICITADAS_BHZ.xlsx</t>
  </si>
  <si>
    <t>S:\02-BASES\05-SISREG\00-ANTERIORES\2019\12\2019-12_SOLICITADAS_INT.xlsx</t>
  </si>
  <si>
    <t>S:\02-BASES\05-SISREG\00-ANTERIORES\2020\01\2020-01_SOLICITADAS_BHZ.xlsx</t>
  </si>
  <si>
    <t>S:\02-BASES\05-SISREG\00-ANTERIORES\2020\01\2020-01_SOLICITADAS_INT.xlsx</t>
  </si>
  <si>
    <t>S:\02-BASES\05-SISREG\00-ANTERIORES\2020\02\2020-02_SOLICITADAS_BHZ.xlsx</t>
  </si>
  <si>
    <t>S:\02-BASES\05-SISREG\00-ANTERIORES\2020\02\2020-02_SOLICITADAS_INT.xlsx</t>
  </si>
  <si>
    <t>S:\02-BASES\05-SISREG\00-ANTERIORES\2020\03\2020-03_SOLICITADAS_BHZ.xlsx</t>
  </si>
  <si>
    <t>S:\02-BASES\05-SISREG\00-ANTERIORES\2020\03\2020-03_SOLICITADAS_INT.xlsx</t>
  </si>
  <si>
    <t>S:\02-BASES\05-SISREG\00-ANTERIORES\2020\04\2020-04_SOLICITADAS_BHZ.xlsx</t>
  </si>
  <si>
    <t>S:\02-BASES\05-SISREG\00-ANTERIORES\2020\04\2020-04_SOLICITADAS_INT.xlsx</t>
  </si>
  <si>
    <t>S:\02-BASES\05-SISREG\00-ANTERIORES\2020\05\2020-05_SOLICITADAS_BHZ.xlsx</t>
  </si>
  <si>
    <t>S:\02-BASES\05-SISREG\00-ANTERIORES\2020\05\2020-05_SOLICITADAS_INT.xlsx</t>
  </si>
  <si>
    <t>S:\02-BASES\05-SISREG\00-ANTERIORES\2020\06\2020-06_SOLICITADAS_BHZ.xlsx</t>
  </si>
  <si>
    <t>S:\02-BASES\05-SISREG\00-ANTERIORES\2020\06\2020-06_SOLICITADAS_INT.xlsx</t>
  </si>
  <si>
    <t>S:\02-BASES\05-SISREG\00-ANTERIORES\2020\07\2020-07_SOLICITADAS_BHZ.xlsx</t>
  </si>
  <si>
    <t>S:\02-BASES\05-SISREG\00-ANTERIORES\2020\07\2020-07_SOLICITADAS_INT.xlsx</t>
  </si>
  <si>
    <t>S:\02-BASES\05-SISREG\00-ANTERIORES\2020\08\2020-08_SOLICITADAS_BHZ.xlsx</t>
  </si>
  <si>
    <t>S:\02-BASES\05-SISREG\00-ANTERIORES\2020\08\2020-08_SOLICITADAS_INT.xlsx</t>
  </si>
  <si>
    <t>S:\02-BASES\05-SISREG\00-ANTERIORES\2020\09\2020-09_SOLICITADAS_BHZ.xlsx</t>
  </si>
  <si>
    <t>S:\02-BASES\05-SISREG\00-ANTERIORES\2020\09\2020-09_SOLICITADAS_INT.xlsx</t>
  </si>
  <si>
    <t>S:\02-BASES\05-SISREG\00-ANTERIORES\2020\10\2020-10_SOLICITADAS_BHZ.xlsx</t>
  </si>
  <si>
    <t>S:\02-BASES\05-SISREG\00-ANTERIORES\2020\10\2020-10_SOLICITADAS_INT.xlsx</t>
  </si>
  <si>
    <t>S:\02-BASES\05-SISREG\00-ANTERIORES\2020\11\2020-11_SOLICITADAS_BHZ.xlsx</t>
  </si>
  <si>
    <t>S:\02-BASES\05-SISREG\00-ANTERIORES\2020\11\2020-11_SOLICITADAS_INT.xlsx</t>
  </si>
  <si>
    <t>S:\02-BASES\05-SISREG\00-ANTERIORES\2020\12\2020-12_SOLICITADAS_BHZ.xlsx</t>
  </si>
  <si>
    <t>S:\02-BASES\05-SISREG\00-ANTERIORES\2020\12\2020-12_SOLICITADAS_INT.xlsx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</si>
</sst>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703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1" fillId="2" borderId="0" xfId="0" applyFont="1" applyFill="1" applyAlignment="1">
      <alignment horizontal="left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3" fillId="0" borderId="0" xfId="0" applyFont="1" applyAlignment="1">
      <alignment vertical="top"/>
    </xf>
    <xf numFmtId="164" fontId="0" fillId="0" borderId="0" xfId="0" applyNumberFormat="1"/>
    <xf numFmtId="0" fontId="0" fillId="4" borderId="0" xfId="0" applyFill="1"/>
    <xf numFmtId="0" fontId="0" fillId="4" borderId="0" xfId="0" applyFill="1" applyAlignment="1">
      <alignment vertical="center"/>
    </xf>
    <xf numFmtId="164" fontId="0" fillId="4" borderId="0" xfId="0" applyNumberFormat="1" applyFill="1"/>
    <xf numFmtId="0" fontId="4" fillId="5" borderId="0" xfId="0" applyFont="1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164" fontId="4" fillId="5" borderId="0" xfId="0" applyNumberFormat="1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7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DEF_DUP" lockText="1" noThreeD="1"/>
</file>

<file path=xl/ctrlProps/ctrlProp2.xml><?xml version="1.0" encoding="utf-8"?>
<formControlPr xmlns="http://schemas.microsoft.com/office/spreadsheetml/2009/9/main" objectType="CheckBox" fmlaLink="DEF_UNI" lockText="1" noThreeD="1"/>
</file>

<file path=xl/ctrlProps/ctrlProp3.xml><?xml version="1.0" encoding="utf-8"?>
<formControlPr xmlns="http://schemas.microsoft.com/office/spreadsheetml/2009/9/main" objectType="CheckBox" fmlaLink="DEF_COL" lockText="1" noThreeD="1"/>
</file>

<file path=xl/ctrlProps/ctrlProp4.xml><?xml version="1.0" encoding="utf-8"?>
<formControlPr xmlns="http://schemas.microsoft.com/office/spreadsheetml/2009/9/main" objectType="CheckBox" fmlaLink="DEF_TIP" lockText="1" noThreeD="1"/>
</file>

<file path=xl/ctrlProps/ctrlProp5.xml><?xml version="1.0" encoding="utf-8"?>
<formControlPr xmlns="http://schemas.microsoft.com/office/spreadsheetml/2009/9/main" objectType="CheckBox" fmlaLink="DEF_TAM" lockText="1" noThreeD="1"/>
</file>

<file path=xl/ctrlProps/ctrlProp6.xml><?xml version="1.0" encoding="utf-8"?>
<formControlPr xmlns="http://schemas.microsoft.com/office/spreadsheetml/2009/9/main" objectType="CheckBox" fmlaLink="DEF_NUL" lockText="1" noThreeD="1"/>
</file>

<file path=xl/ctrlProps/ctrlProp7.xml><?xml version="1.0" encoding="utf-8"?>
<formControlPr xmlns="http://schemas.microsoft.com/office/spreadsheetml/2009/9/main" objectType="CheckBox" fmlaLink="DEF_VAL" lockText="1" noThreeD="1"/>
</file>

<file path=xl/ctrlProps/ctrlProp8.xml><?xml version="1.0" encoding="utf-8"?>
<formControlPr xmlns="http://schemas.microsoft.com/office/spreadsheetml/2009/9/main" objectType="CheckBox" fmlaLink="DEF_EXP" lockText="1" noThreeD="1"/>
</file>

<file path=xl/ctrlProps/ctrlProp9.xml><?xml version="1.0" encoding="utf-8"?>
<formControlPr xmlns="http://schemas.microsoft.com/office/spreadsheetml/2009/9/main" objectType="CheckBox" fmlaLink="DEF_SQL" lockText="1" noThreeD="1"/>
</file>

<file path=xl/ctrlProps/ctrlProp10.xml><?xml version="1.0" encoding="utf-8"?>
<formControlPr xmlns="http://schemas.microsoft.com/office/spreadsheetml/2009/9/main" objectType="CheckBox" fmlaLink="DEF_TMP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19</xdr:row>
      <xdr:rowOff>0</xdr:rowOff>
    </xdr:from>
    <xdr:to>
      <xdr:col>15</xdr:col>
      <xdr:colOff>0</xdr:colOff>
      <xdr:row>21</xdr:row>
      <xdr:rowOff>0</xdr:rowOff>
    </xdr:to>
    <xdr:sp macro="[0]!Main" textlink="$G$19">
      <xdr:nvSpPr>
        <xdr:cNvPr id="2" name="ExecBt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315200" y="3886200"/>
          <a:ext cx="1828800" cy="495300"/>
        </a:xfrm>
        <a:prstGeom prst="rect">
          <a:avLst/>
        </a:prstGeom>
        <a:solidFill>
          <a:schemeClr val="bg2"/>
        </a:solidFill>
        <a:ln w="381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DC9E84-7673-48EE-AAE2-84D06239592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Somente Exportar</a:t>
          </a:fld>
          <a:endParaRPr lang="pt-BR" sz="1100"/>
        </a:p>
      </xdr:txBody>
    </xdr:sp>
    <xdr:clientData/>
  </xdr:twoCellAnchor>
  <xdr:oneCellAnchor>
    <xdr:from>
      <xdr:col>1</xdr:col>
      <xdr:colOff>0</xdr:colOff>
      <xdr:row>6</xdr:row>
      <xdr:rowOff>244475</xdr:rowOff>
    </xdr:from>
    <xdr:ext cx="3644900" cy="381000"/>
    <xdr:sp macro="[0]!SelectSQL" textlink="">
      <xdr:nvSpPr>
        <xdr:cNvPr id="6" name="ScriptsBt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9600" y="1625600"/>
          <a:ext cx="3644900" cy="3810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spAutoFit/>
        </a:bodyPr>
        <a:lstStyle/>
        <a:p>
          <a:pPr algn="l"/>
          <a:r>
            <a:rPr lang="pt-BR" sz="1100"/>
            <a:t>S:\10-APPS\10-DEVOPS\03-VALIDADOR\AmbulatorialSQL.ini</a:t>
          </a:r>
        </a:p>
      </xdr:txBody>
    </xdr:sp>
    <xdr:clientData/>
  </xdr:oneCellAnchor>
  <xdr:oneCellAnchor>
    <xdr:from>
      <xdr:col>1</xdr:col>
      <xdr:colOff>0</xdr:colOff>
      <xdr:row>3</xdr:row>
      <xdr:rowOff>0</xdr:rowOff>
    </xdr:from>
    <xdr:ext cx="3429000" cy="381000"/>
    <xdr:sp macro="[0]!SelectINI" textlink="">
      <xdr:nvSpPr>
        <xdr:cNvPr id="3" name="ConfigBt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09600" y="876300"/>
          <a:ext cx="3429000" cy="3810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spAutoFit/>
        </a:bodyPr>
        <a:lstStyle/>
        <a:p>
          <a:pPr algn="l"/>
          <a:r>
            <a:rPr lang="pt-BR" sz="1100"/>
            <a:t>S:\10-APPS\10-DEVOPS\03-VALIDADOR\Ambulatorial.ini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228600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20</xdr:row>
          <xdr:rowOff>228600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20</xdr:row>
          <xdr:rowOff>228600</xdr:rowOff>
        </xdr:to>
        <xdr:sp macro="" textlink="">
          <xdr:nvSpPr>
            <xdr:cNvPr id="1028" name="ComboBox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11</xdr:row>
      <xdr:rowOff>6350</xdr:rowOff>
    </xdr:from>
    <xdr:ext cx="2489200" cy="381000"/>
    <xdr:sp macro="[0]!SelectSource" textlink="">
      <xdr:nvSpPr>
        <xdr:cNvPr id="8" name="Source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609600" y="2387600"/>
          <a:ext cx="2489200" cy="3810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spAutoFit/>
        </a:bodyPr>
        <a:lstStyle/>
        <a:p>
          <a:pPr algn="l"/>
          <a:r>
            <a:rPr lang="pt-BR" sz="1100"/>
            <a:t>S:\02-BASES\05-SISREG\00-ANTERIORES</a:t>
          </a:r>
        </a:p>
      </xdr:txBody>
    </xdr:sp>
    <xdr:clientData/>
  </xdr:oneCellAnchor>
  <xdr:oneCellAnchor>
    <xdr:from>
      <xdr:col>0</xdr:col>
      <xdr:colOff>609599</xdr:colOff>
      <xdr:row>15</xdr:row>
      <xdr:rowOff>3175</xdr:rowOff>
    </xdr:from>
    <xdr:ext cx="1981200" cy="381000"/>
    <xdr:sp macro="[0]!SelectTarget" textlink="">
      <xdr:nvSpPr>
        <xdr:cNvPr id="9" name="Target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09599" y="3136900"/>
          <a:ext cx="1981200" cy="3810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spAutoFit/>
        </a:bodyPr>
        <a:lstStyle/>
        <a:p>
          <a:pPr algn="l"/>
          <a:r>
            <a:rPr lang="pt-BR" sz="1100"/>
            <a:t>D:\02-BASES\05-SISREG\Export</a:t>
          </a:r>
        </a:p>
      </xdr:txBody>
    </xdr:sp>
    <xdr:clientData/>
  </xdr:oneCellAnchor>
  <xdr:twoCellAnchor>
    <xdr:from>
      <xdr:col>4</xdr:col>
      <xdr:colOff>139200</xdr:colOff>
      <xdr:row>19</xdr:row>
      <xdr:rowOff>0</xdr:rowOff>
    </xdr:from>
    <xdr:to>
      <xdr:col>6</xdr:col>
      <xdr:colOff>0</xdr:colOff>
      <xdr:row>21</xdr:row>
      <xdr:rowOff>0</xdr:rowOff>
    </xdr:to>
    <xdr:sp macro="[0]!BaseLoad" textlink="">
      <xdr:nvSpPr>
        <xdr:cNvPr id="10" name="Load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577600" y="3886200"/>
          <a:ext cx="1080000" cy="419100"/>
        </a:xfrm>
        <a:prstGeom prst="rect">
          <a:avLst/>
        </a:prstGeom>
        <a:solidFill>
          <a:schemeClr val="bg2"/>
        </a:solidFill>
        <a:ln w="381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Carregar</a:t>
          </a:r>
          <a:r>
            <a:rPr lang="pt-BR" sz="1100" baseline="0"/>
            <a:t> Bases</a:t>
          </a: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1032" name="DEF_DU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033" name="DEF_UN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1034" name="DEF_CO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1035" name="DEF_TIP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1036" name="DEF_TA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1037" name="DEF_NU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038" name="DEF_VAL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1039" name="DEF_EX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1040" name="DEF_SQL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041" name="DEF_TMP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me"/>
  <dimension ref="B1:O264"/>
  <sheetViews>
    <sheetView showGridLines="0" showRowColHeaders="0" tabSelected="1" workbookViewId="0">
      <selection activeCell="Q18" sqref="Q18"/>
    </sheetView>
  </sheetViews>
  <sheetFormatPr defaultRowHeight="15" x14ac:dyDescent="0.25"/>
  <cols>
    <col min="13" max="13" width="2.7109375" customWidth="1"/>
    <col min="14" max="14" width="20.7109375" customWidth="1"/>
    <col min="15" max="15" width="2.7109375" customWidth="1"/>
  </cols>
  <sheetData>
    <row r="1" spans="2:15" s="8" customFormat="1" ht="35.1" customHeight="1" x14ac:dyDescent="0.25">
      <c r="B1" s="8" t="s">
        <v>2</v>
      </c>
    </row>
    <row r="3" spans="2:15" s="4" customFormat="1" ht="20.100000000000001" customHeight="1" x14ac:dyDescent="0.25">
      <c r="B3" s="2" t="s">
        <v>0</v>
      </c>
      <c r="C3" s="3"/>
      <c r="L3" s="9"/>
    </row>
    <row r="4" spans="2:15" x14ac:dyDescent="0.25">
      <c r="B4" s="5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2:15" x14ac:dyDescent="0.25">
      <c r="B5" s="7"/>
      <c r="C5" s="7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2:15" ht="9.9499999999999993" customHeight="1" x14ac:dyDescent="0.25">
      <c r="B6" s="1"/>
      <c r="C6" s="1"/>
    </row>
    <row r="7" spans="2:15" ht="20.100000000000001" customHeight="1" x14ac:dyDescent="0.25">
      <c r="B7" s="2" t="s">
        <v>1</v>
      </c>
      <c r="C7" s="2"/>
    </row>
    <row r="8" spans="2:15" x14ac:dyDescent="0.25">
      <c r="B8" s="5"/>
      <c r="C8" s="5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</row>
    <row r="9" spans="2:15" x14ac:dyDescent="0.25">
      <c r="B9" s="7"/>
      <c r="C9" s="7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2:15" ht="9.9499999999999993" customHeight="1" x14ac:dyDescent="0.25"/>
    <row r="11" spans="2:15" ht="20.100000000000001" customHeight="1" x14ac:dyDescent="0.25">
      <c r="B11" s="2" t="s">
        <v>19</v>
      </c>
      <c r="C11" s="2"/>
    </row>
    <row r="12" spans="2:15" x14ac:dyDescent="0.25">
      <c r="B12" s="5"/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2:15" x14ac:dyDescent="0.25">
      <c r="B13" s="7"/>
      <c r="C13" s="7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2:15" ht="9.9499999999999993" customHeight="1" x14ac:dyDescent="0.25"/>
    <row r="15" spans="2:15" ht="20.100000000000001" customHeight="1" x14ac:dyDescent="0.25">
      <c r="B15" s="2" t="s">
        <v>20</v>
      </c>
      <c r="C15" s="2"/>
    </row>
    <row r="16" spans="2:15" x14ac:dyDescent="0.25">
      <c r="B16" s="5"/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2:15" x14ac:dyDescent="0.25">
      <c r="B17" s="7"/>
      <c r="C17" s="7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</row>
    <row r="18" spans="2:15" ht="9.9499999999999993" customHeight="1" x14ac:dyDescent="0.25"/>
    <row r="19" spans="2:15" ht="20.100000000000001" customHeight="1" x14ac:dyDescent="0.25">
      <c r="B19" s="2" t="s">
        <v>3</v>
      </c>
      <c r="C19" s="2"/>
      <c r="G19" s="10" t="str">
        <f>IF(DEF_SQL,"Exportar e atualizar SQL","Somente Exportar")</f>
        <v>Somente Exportar</v>
      </c>
    </row>
    <row r="20" spans="2:15" ht="20.100000000000001" customHeight="1" x14ac:dyDescent="0.25">
      <c r="B20" t="s">
        <v>5</v>
      </c>
      <c r="C20" t="s">
        <v>6</v>
      </c>
      <c r="D20" t="s">
        <v>4</v>
      </c>
      <c r="G20" s="10" t="b">
        <v>0</v>
      </c>
    </row>
    <row r="21" spans="2:15" ht="20.100000000000001" customHeight="1" x14ac:dyDescent="0.25">
      <c r="B21" s="6"/>
      <c r="C21" s="6"/>
      <c r="D21" s="6"/>
      <c r="G21" s="10" t="b">
        <v>1</v>
      </c>
    </row>
    <row r="23" spans="2:15" x14ac:dyDescent="0.25">
      <c r="M23" s="14"/>
      <c r="N23" s="15" t="s">
        <v>55</v>
      </c>
      <c r="O23" s="14"/>
    </row>
    <row r="24" spans="2:15" x14ac:dyDescent="0.25">
      <c r="B24" t="s">
        <v>22</v>
      </c>
      <c r="M24" s="11"/>
      <c r="N24" s="12" t="s">
        <v>56</v>
      </c>
      <c r="O24" s="13" t="b">
        <v>0</v>
      </c>
    </row>
    <row r="25" spans="2:15" x14ac:dyDescent="0.25">
      <c r="B25" t="s">
        <v>23</v>
      </c>
      <c r="M25" s="11"/>
      <c r="N25" s="12" t="s">
        <v>58</v>
      </c>
      <c r="O25" s="13" t="b">
        <v>0</v>
      </c>
    </row>
    <row r="26" spans="2:15" x14ac:dyDescent="0.25">
      <c r="B26" t="s">
        <v>24</v>
      </c>
      <c r="M26" s="11"/>
      <c r="N26" s="12" t="s">
        <v>59</v>
      </c>
      <c r="O26" s="13" t="b">
        <v>0</v>
      </c>
    </row>
    <row r="27" spans="2:15" x14ac:dyDescent="0.25">
      <c r="B27" t="s">
        <v>25</v>
      </c>
      <c r="M27" s="11"/>
      <c r="N27" s="12" t="s">
        <v>57</v>
      </c>
      <c r="O27" s="13" t="b">
        <v>0</v>
      </c>
    </row>
    <row r="28" spans="2:15" x14ac:dyDescent="0.25">
      <c r="B28" t="s">
        <v>26</v>
      </c>
    </row>
    <row r="29" spans="2:15" x14ac:dyDescent="0.25">
      <c r="B29" t="s">
        <v>27</v>
      </c>
      <c r="M29" s="14"/>
      <c r="N29" s="15" t="s">
        <v>52</v>
      </c>
      <c r="O29" s="16"/>
    </row>
    <row r="30" spans="2:15" x14ac:dyDescent="0.25">
      <c r="B30" t="s">
        <v>28</v>
      </c>
      <c r="M30" s="11"/>
      <c r="N30" s="12" t="s">
        <v>48</v>
      </c>
      <c r="O30" s="13" t="b">
        <v>0</v>
      </c>
    </row>
    <row r="31" spans="2:15" x14ac:dyDescent="0.25">
      <c r="B31" t="s">
        <v>29</v>
      </c>
      <c r="M31" s="11"/>
      <c r="N31" s="12" t="s">
        <v>47</v>
      </c>
      <c r="O31" s="13" t="b">
        <v>0</v>
      </c>
    </row>
    <row r="32" spans="2:15" x14ac:dyDescent="0.25">
      <c r="B32" t="s">
        <v>30</v>
      </c>
      <c r="O32" s="10"/>
    </row>
    <row r="33" spans="2:15" x14ac:dyDescent="0.25">
      <c r="B33" t="s">
        <v>31</v>
      </c>
      <c r="M33" s="14"/>
      <c r="N33" s="15" t="s">
        <v>53</v>
      </c>
      <c r="O33" s="16"/>
    </row>
    <row r="34" spans="2:15" x14ac:dyDescent="0.25">
      <c r="B34" t="s">
        <v>32</v>
      </c>
      <c r="M34" s="11"/>
      <c r="N34" s="12" t="s">
        <v>54</v>
      </c>
      <c r="O34" s="13" t="b">
        <v>0</v>
      </c>
    </row>
    <row r="35" spans="2:15" x14ac:dyDescent="0.25">
      <c r="B35" t="s">
        <v>33</v>
      </c>
      <c r="M35" s="11"/>
      <c r="N35" s="12" t="s">
        <v>49</v>
      </c>
      <c r="O35" s="13" t="b">
        <v>0</v>
      </c>
    </row>
    <row r="36" spans="2:15" x14ac:dyDescent="0.25">
      <c r="B36" t="s">
        <v>34</v>
      </c>
      <c r="M36" s="11"/>
      <c r="N36" s="11" t="s">
        <v>50</v>
      </c>
      <c r="O36" s="13" t="b">
        <v>0</v>
      </c>
    </row>
    <row r="37" spans="2:15" x14ac:dyDescent="0.25">
      <c r="B37" t="s">
        <v>35</v>
      </c>
      <c r="M37" s="11"/>
      <c r="N37" s="11" t="s">
        <v>51</v>
      </c>
      <c r="O37" s="13" t="b">
        <v>0</v>
      </c>
    </row>
    <row r="38" spans="2:15" x14ac:dyDescent="0.25">
      <c r="B38" t="s">
        <v>36</v>
      </c>
    </row>
    <row r="39" spans="2:15" x14ac:dyDescent="0.25">
      <c r="B39" t="s">
        <v>37</v>
      </c>
    </row>
    <row r="40" spans="2:15" x14ac:dyDescent="0.25">
      <c r="B40" t="s">
        <v>38</v>
      </c>
    </row>
    <row r="41" spans="2:15" x14ac:dyDescent="0.25">
      <c r="B41" t="s">
        <v>39</v>
      </c>
    </row>
    <row r="42" spans="2:15" x14ac:dyDescent="0.25">
      <c r="B42" t="s">
        <v>40</v>
      </c>
    </row>
    <row r="43" spans="2:15" x14ac:dyDescent="0.25">
      <c r="B43" t="s">
        <v>41</v>
      </c>
    </row>
    <row r="44" spans="2:15" x14ac:dyDescent="0.25">
      <c r="B44" t="s">
        <v>42</v>
      </c>
    </row>
    <row r="45" spans="2:15" x14ac:dyDescent="0.25">
      <c r="B45" t="s">
        <v>43</v>
      </c>
    </row>
    <row r="46" spans="2:15" x14ac:dyDescent="0.25">
      <c r="B46" t="s">
        <v>44</v>
      </c>
    </row>
    <row r="47" spans="2:15" x14ac:dyDescent="0.25">
      <c r="B47" t="s">
        <v>45</v>
      </c>
    </row>
    <row r="48" spans="2:15" x14ac:dyDescent="0.25">
      <c r="B48" t="s">
        <v>60</v>
      </c>
    </row>
    <row r="49" spans="2:2" x14ac:dyDescent="0.25">
      <c r="B49" t="s">
        <v>61</v>
      </c>
    </row>
    <row r="50" spans="2:2" x14ac:dyDescent="0.25">
      <c r="B50" t="s">
        <v>62</v>
      </c>
    </row>
    <row r="51" spans="2:2" x14ac:dyDescent="0.25">
      <c r="B51" t="s">
        <v>63</v>
      </c>
    </row>
    <row r="52" spans="2:2" x14ac:dyDescent="0.25">
      <c r="B52" t="s">
        <v>64</v>
      </c>
    </row>
    <row r="53" spans="2:2" x14ac:dyDescent="0.25">
      <c r="B53" t="s">
        <v>65</v>
      </c>
    </row>
    <row r="54" spans="2:2" x14ac:dyDescent="0.25">
      <c r="B54" t="s">
        <v>66</v>
      </c>
    </row>
    <row r="55" spans="2:2" x14ac:dyDescent="0.25">
      <c r="B55" t="s">
        <v>67</v>
      </c>
    </row>
    <row r="56" spans="2:2" x14ac:dyDescent="0.25">
      <c r="B56" t="s">
        <v>68</v>
      </c>
    </row>
    <row r="57" spans="2:2" x14ac:dyDescent="0.25">
      <c r="B57" t="s">
        <v>69</v>
      </c>
    </row>
    <row r="58" spans="2:2" x14ac:dyDescent="0.25">
      <c r="B58" t="s">
        <v>70</v>
      </c>
    </row>
    <row r="59" spans="2:2" x14ac:dyDescent="0.25">
      <c r="B59" t="s">
        <v>71</v>
      </c>
    </row>
    <row r="60" spans="2:2" x14ac:dyDescent="0.25">
      <c r="B60" t="s">
        <v>72</v>
      </c>
    </row>
    <row r="61" spans="2:2" x14ac:dyDescent="0.25">
      <c r="B61" t="s">
        <v>73</v>
      </c>
    </row>
    <row r="62" spans="2:2" x14ac:dyDescent="0.25">
      <c r="B62" t="s">
        <v>74</v>
      </c>
    </row>
    <row r="63" spans="2:2" x14ac:dyDescent="0.25">
      <c r="B63" t="s">
        <v>75</v>
      </c>
    </row>
    <row r="64" spans="2:2" x14ac:dyDescent="0.25">
      <c r="B64" t="s">
        <v>76</v>
      </c>
    </row>
    <row r="65" spans="2:2" x14ac:dyDescent="0.25">
      <c r="B65" t="s">
        <v>77</v>
      </c>
    </row>
    <row r="66" spans="2:2" x14ac:dyDescent="0.25">
      <c r="B66" t="s">
        <v>78</v>
      </c>
    </row>
    <row r="67" spans="2:2" x14ac:dyDescent="0.25">
      <c r="B67" t="s">
        <v>79</v>
      </c>
    </row>
    <row r="68" spans="2:2" x14ac:dyDescent="0.25">
      <c r="B68" t="s">
        <v>80</v>
      </c>
    </row>
    <row r="69" spans="2:2" x14ac:dyDescent="0.25">
      <c r="B69" t="s">
        <v>81</v>
      </c>
    </row>
    <row r="70" spans="2:2" x14ac:dyDescent="0.25">
      <c r="B70" t="s">
        <v>82</v>
      </c>
    </row>
    <row r="71" spans="2:2" x14ac:dyDescent="0.25">
      <c r="B71" t="s">
        <v>83</v>
      </c>
    </row>
    <row r="72" spans="2:2" x14ac:dyDescent="0.25">
      <c r="B72" t="s">
        <v>84</v>
      </c>
    </row>
    <row r="73" spans="2:2" x14ac:dyDescent="0.25">
      <c r="B73" t="s">
        <v>85</v>
      </c>
    </row>
    <row r="74" spans="2:2" x14ac:dyDescent="0.25">
      <c r="B74" t="s">
        <v>86</v>
      </c>
    </row>
    <row r="75" spans="2:2" x14ac:dyDescent="0.25">
      <c r="B75" t="s">
        <v>87</v>
      </c>
    </row>
    <row r="76" spans="2:2" x14ac:dyDescent="0.25">
      <c r="B76" t="s">
        <v>88</v>
      </c>
    </row>
    <row r="77" spans="2:2" x14ac:dyDescent="0.25">
      <c r="B77" t="s">
        <v>89</v>
      </c>
    </row>
    <row r="78" spans="2:2" x14ac:dyDescent="0.25">
      <c r="B78" t="s">
        <v>90</v>
      </c>
    </row>
    <row r="79" spans="2:2" x14ac:dyDescent="0.25">
      <c r="B79" t="s">
        <v>91</v>
      </c>
    </row>
    <row r="80" spans="2:2" x14ac:dyDescent="0.25">
      <c r="B80" t="s">
        <v>92</v>
      </c>
    </row>
    <row r="81" spans="2:2" x14ac:dyDescent="0.25">
      <c r="B81" t="s">
        <v>93</v>
      </c>
    </row>
    <row r="82" spans="2:2" x14ac:dyDescent="0.25">
      <c r="B82" t="s">
        <v>94</v>
      </c>
    </row>
    <row r="83" spans="2:2" x14ac:dyDescent="0.25">
      <c r="B83" t="s">
        <v>95</v>
      </c>
    </row>
    <row r="84" spans="2:2" x14ac:dyDescent="0.25">
      <c r="B84" t="s">
        <v>96</v>
      </c>
    </row>
    <row r="85" spans="2:2" x14ac:dyDescent="0.25">
      <c r="B85" t="s">
        <v>97</v>
      </c>
    </row>
    <row r="86" spans="2:2" x14ac:dyDescent="0.25">
      <c r="B86" t="s">
        <v>98</v>
      </c>
    </row>
    <row r="87" spans="2:2" x14ac:dyDescent="0.25">
      <c r="B87" t="s">
        <v>99</v>
      </c>
    </row>
    <row r="88" spans="2:2" x14ac:dyDescent="0.25">
      <c r="B88" t="s">
        <v>100</v>
      </c>
    </row>
    <row r="89" spans="2:2" x14ac:dyDescent="0.25">
      <c r="B89" t="s">
        <v>101</v>
      </c>
    </row>
    <row r="90" spans="2:2" x14ac:dyDescent="0.25">
      <c r="B90" t="s">
        <v>102</v>
      </c>
    </row>
    <row r="91" spans="2:2" x14ac:dyDescent="0.25">
      <c r="B91" t="s">
        <v>103</v>
      </c>
    </row>
    <row r="92" spans="2:2" x14ac:dyDescent="0.25">
      <c r="B92" t="s">
        <v>104</v>
      </c>
    </row>
    <row r="93" spans="2:2" x14ac:dyDescent="0.25">
      <c r="B93" t="s">
        <v>105</v>
      </c>
    </row>
    <row r="94" spans="2:2" x14ac:dyDescent="0.25">
      <c r="B94" t="s">
        <v>106</v>
      </c>
    </row>
    <row r="95" spans="2:2" x14ac:dyDescent="0.25">
      <c r="B95" t="s">
        <v>107</v>
      </c>
    </row>
    <row r="96" spans="2:2" x14ac:dyDescent="0.25">
      <c r="B96" t="s">
        <v>108</v>
      </c>
    </row>
    <row r="97" spans="2:2" x14ac:dyDescent="0.25">
      <c r="B97" t="s">
        <v>109</v>
      </c>
    </row>
    <row r="98" spans="2:2" x14ac:dyDescent="0.25">
      <c r="B98" t="s">
        <v>110</v>
      </c>
    </row>
    <row r="99" spans="2:2" x14ac:dyDescent="0.25">
      <c r="B99" t="s">
        <v>111</v>
      </c>
    </row>
    <row r="100" spans="2:2" x14ac:dyDescent="0.25">
      <c r="B100" t="s">
        <v>112</v>
      </c>
    </row>
    <row r="101" spans="2:2" x14ac:dyDescent="0.25">
      <c r="B101" t="s">
        <v>113</v>
      </c>
    </row>
    <row r="102" spans="2:2" x14ac:dyDescent="0.25">
      <c r="B102" t="s">
        <v>114</v>
      </c>
    </row>
    <row r="103" spans="2:2" x14ac:dyDescent="0.25">
      <c r="B103" t="s">
        <v>115</v>
      </c>
    </row>
    <row r="104" spans="2:2" x14ac:dyDescent="0.25">
      <c r="B104" t="s">
        <v>116</v>
      </c>
    </row>
    <row r="105" spans="2:2" x14ac:dyDescent="0.25">
      <c r="B105" t="s">
        <v>117</v>
      </c>
    </row>
    <row r="106" spans="2:2" x14ac:dyDescent="0.25">
      <c r="B106" t="s">
        <v>118</v>
      </c>
    </row>
    <row r="107" spans="2:2" x14ac:dyDescent="0.25">
      <c r="B107" t="s">
        <v>119</v>
      </c>
    </row>
    <row r="108" spans="2:2" x14ac:dyDescent="0.25">
      <c r="B108" t="s">
        <v>120</v>
      </c>
    </row>
    <row r="109" spans="2:2" x14ac:dyDescent="0.25">
      <c r="B109" t="s">
        <v>121</v>
      </c>
    </row>
    <row r="110" spans="2:2" x14ac:dyDescent="0.25">
      <c r="B110" t="s">
        <v>122</v>
      </c>
    </row>
    <row r="111" spans="2:2" x14ac:dyDescent="0.25">
      <c r="B111" t="s">
        <v>123</v>
      </c>
    </row>
    <row r="112" spans="2:2" x14ac:dyDescent="0.25">
      <c r="B112" t="s">
        <v>124</v>
      </c>
    </row>
    <row r="113" spans="2:2" x14ac:dyDescent="0.25">
      <c r="B113" t="s">
        <v>125</v>
      </c>
    </row>
    <row r="114" spans="2:2" x14ac:dyDescent="0.25">
      <c r="B114" t="s">
        <v>126</v>
      </c>
    </row>
    <row r="115" spans="2:2" x14ac:dyDescent="0.25">
      <c r="B115" t="s">
        <v>127</v>
      </c>
    </row>
    <row r="116" spans="2:2" x14ac:dyDescent="0.25">
      <c r="B116" t="s">
        <v>128</v>
      </c>
    </row>
    <row r="117" spans="2:2" x14ac:dyDescent="0.25">
      <c r="B117" t="s">
        <v>129</v>
      </c>
    </row>
    <row r="118" spans="2:2" x14ac:dyDescent="0.25">
      <c r="B118" t="s">
        <v>130</v>
      </c>
    </row>
    <row r="119" spans="2:2" x14ac:dyDescent="0.25">
      <c r="B119" t="s">
        <v>131</v>
      </c>
    </row>
    <row r="120" spans="2:2" x14ac:dyDescent="0.25">
      <c r="B120" t="s">
        <v>132</v>
      </c>
    </row>
    <row r="121" spans="2:2" x14ac:dyDescent="0.25">
      <c r="B121" t="s">
        <v>133</v>
      </c>
    </row>
    <row r="122" spans="2:2" x14ac:dyDescent="0.25">
      <c r="B122" t="s">
        <v>134</v>
      </c>
    </row>
    <row r="123" spans="2:2" x14ac:dyDescent="0.25">
      <c r="B123" t="s">
        <v>135</v>
      </c>
    </row>
    <row r="124" spans="2:2" x14ac:dyDescent="0.25">
      <c r="B124" t="s">
        <v>136</v>
      </c>
    </row>
    <row r="125" spans="2:2" x14ac:dyDescent="0.25">
      <c r="B125" t="s">
        <v>137</v>
      </c>
    </row>
    <row r="126" spans="2:2" x14ac:dyDescent="0.25">
      <c r="B126" t="s">
        <v>138</v>
      </c>
    </row>
    <row r="127" spans="2:2" x14ac:dyDescent="0.25">
      <c r="B127" t="s">
        <v>139</v>
      </c>
    </row>
    <row r="128" spans="2:2" x14ac:dyDescent="0.25">
      <c r="B128" t="s">
        <v>140</v>
      </c>
    </row>
    <row r="129" spans="2:2" x14ac:dyDescent="0.25">
      <c r="B129" t="s">
        <v>141</v>
      </c>
    </row>
    <row r="130" spans="2:2" x14ac:dyDescent="0.25">
      <c r="B130" t="s">
        <v>142</v>
      </c>
    </row>
    <row r="131" spans="2:2" x14ac:dyDescent="0.25">
      <c r="B131" t="s">
        <v>143</v>
      </c>
    </row>
    <row r="132" spans="2:2" x14ac:dyDescent="0.25">
      <c r="B132" t="s">
        <v>144</v>
      </c>
    </row>
    <row r="133" spans="2:2" x14ac:dyDescent="0.25">
      <c r="B133" t="s">
        <v>145</v>
      </c>
    </row>
    <row r="134" spans="2:2" x14ac:dyDescent="0.25">
      <c r="B134" t="s">
        <v>146</v>
      </c>
    </row>
    <row r="135" spans="2:2" x14ac:dyDescent="0.25">
      <c r="B135" t="s">
        <v>147</v>
      </c>
    </row>
    <row r="136" spans="2:2" x14ac:dyDescent="0.25">
      <c r="B136" t="s">
        <v>148</v>
      </c>
    </row>
    <row r="137" spans="2:2" x14ac:dyDescent="0.25">
      <c r="B137" t="s">
        <v>149</v>
      </c>
    </row>
    <row r="138" spans="2:2" x14ac:dyDescent="0.25">
      <c r="B138" t="s">
        <v>150</v>
      </c>
    </row>
    <row r="139" spans="2:2" x14ac:dyDescent="0.25">
      <c r="B139" t="s">
        <v>151</v>
      </c>
    </row>
    <row r="140" spans="2:2" x14ac:dyDescent="0.25">
      <c r="B140" t="s">
        <v>152</v>
      </c>
    </row>
    <row r="141" spans="2:2" x14ac:dyDescent="0.25">
      <c r="B141" t="s">
        <v>153</v>
      </c>
    </row>
    <row r="142" spans="2:2" x14ac:dyDescent="0.25">
      <c r="B142" t="s">
        <v>154</v>
      </c>
    </row>
    <row r="143" spans="2:2" x14ac:dyDescent="0.25">
      <c r="B143" t="s">
        <v>155</v>
      </c>
    </row>
    <row r="144" spans="2:2" x14ac:dyDescent="0.25">
      <c r="B144" t="s">
        <v>156</v>
      </c>
    </row>
    <row r="145" spans="2:2" x14ac:dyDescent="0.25">
      <c r="B145" t="s">
        <v>157</v>
      </c>
    </row>
    <row r="146" spans="2:2" x14ac:dyDescent="0.25">
      <c r="B146" t="s">
        <v>158</v>
      </c>
    </row>
    <row r="147" spans="2:2" x14ac:dyDescent="0.25">
      <c r="B147" t="s">
        <v>159</v>
      </c>
    </row>
    <row r="148" spans="2:2" x14ac:dyDescent="0.25">
      <c r="B148" t="s">
        <v>160</v>
      </c>
    </row>
    <row r="149" spans="2:2" x14ac:dyDescent="0.25">
      <c r="B149" t="s">
        <v>161</v>
      </c>
    </row>
    <row r="150" spans="2:2" x14ac:dyDescent="0.25">
      <c r="B150" t="s">
        <v>162</v>
      </c>
    </row>
    <row r="151" spans="2:2" x14ac:dyDescent="0.25">
      <c r="B151" t="s">
        <v>163</v>
      </c>
    </row>
    <row r="152" spans="2:2" x14ac:dyDescent="0.25">
      <c r="B152" t="s">
        <v>164</v>
      </c>
    </row>
    <row r="153" spans="2:2" x14ac:dyDescent="0.25">
      <c r="B153" t="s">
        <v>165</v>
      </c>
    </row>
    <row r="154" spans="2:2" x14ac:dyDescent="0.25">
      <c r="B154" t="s">
        <v>166</v>
      </c>
    </row>
    <row r="155" spans="2:2" x14ac:dyDescent="0.25">
      <c r="B155" t="s">
        <v>167</v>
      </c>
    </row>
    <row r="156" spans="2:2" x14ac:dyDescent="0.25">
      <c r="B156" t="s">
        <v>168</v>
      </c>
    </row>
    <row r="157" spans="2:2" x14ac:dyDescent="0.25">
      <c r="B157" t="s">
        <v>169</v>
      </c>
    </row>
    <row r="158" spans="2:2" x14ac:dyDescent="0.25">
      <c r="B158" t="s">
        <v>170</v>
      </c>
    </row>
    <row r="159" spans="2:2" x14ac:dyDescent="0.25">
      <c r="B159" t="s">
        <v>171</v>
      </c>
    </row>
    <row r="160" spans="2:2" x14ac:dyDescent="0.25">
      <c r="B160" t="s">
        <v>172</v>
      </c>
    </row>
    <row r="161" spans="2:2" x14ac:dyDescent="0.25">
      <c r="B161" t="s">
        <v>173</v>
      </c>
    </row>
    <row r="162" spans="2:2" x14ac:dyDescent="0.25">
      <c r="B162" t="s">
        <v>174</v>
      </c>
    </row>
    <row r="163" spans="2:2" x14ac:dyDescent="0.25">
      <c r="B163" t="s">
        <v>175</v>
      </c>
    </row>
    <row r="164" spans="2:2" x14ac:dyDescent="0.25">
      <c r="B164" t="s">
        <v>176</v>
      </c>
    </row>
    <row r="165" spans="2:2" x14ac:dyDescent="0.25">
      <c r="B165" t="s">
        <v>177</v>
      </c>
    </row>
    <row r="166" spans="2:2" x14ac:dyDescent="0.25">
      <c r="B166" t="s">
        <v>178</v>
      </c>
    </row>
    <row r="167" spans="2:2" x14ac:dyDescent="0.25">
      <c r="B167" t="s">
        <v>179</v>
      </c>
    </row>
    <row r="168" spans="2:2" x14ac:dyDescent="0.25">
      <c r="B168" t="s">
        <v>180</v>
      </c>
    </row>
    <row r="169" spans="2:2" x14ac:dyDescent="0.25">
      <c r="B169" t="s">
        <v>181</v>
      </c>
    </row>
    <row r="170" spans="2:2" x14ac:dyDescent="0.25">
      <c r="B170" t="s">
        <v>182</v>
      </c>
    </row>
    <row r="171" spans="2:2" x14ac:dyDescent="0.25">
      <c r="B171" t="s">
        <v>183</v>
      </c>
    </row>
    <row r="172" spans="2:2" x14ac:dyDescent="0.25">
      <c r="B172" t="s">
        <v>184</v>
      </c>
    </row>
    <row r="173" spans="2:2" x14ac:dyDescent="0.25">
      <c r="B173" t="s">
        <v>185</v>
      </c>
    </row>
    <row r="174" spans="2:2" x14ac:dyDescent="0.25">
      <c r="B174" t="s">
        <v>186</v>
      </c>
    </row>
    <row r="175" spans="2:2" x14ac:dyDescent="0.25">
      <c r="B175" t="s">
        <v>187</v>
      </c>
    </row>
    <row r="176" spans="2:2" x14ac:dyDescent="0.25">
      <c r="B176" t="s">
        <v>188</v>
      </c>
    </row>
    <row r="177" spans="2:2" x14ac:dyDescent="0.25">
      <c r="B177" t="s">
        <v>189</v>
      </c>
    </row>
    <row r="178" spans="2:2" x14ac:dyDescent="0.25">
      <c r="B178" t="s">
        <v>190</v>
      </c>
    </row>
    <row r="179" spans="2:2" x14ac:dyDescent="0.25">
      <c r="B179" t="s">
        <v>191</v>
      </c>
    </row>
    <row r="180" spans="2:2" x14ac:dyDescent="0.25">
      <c r="B180" t="s">
        <v>192</v>
      </c>
    </row>
    <row r="181" spans="2:2" x14ac:dyDescent="0.25">
      <c r="B181" t="s">
        <v>193</v>
      </c>
    </row>
    <row r="182" spans="2:2" x14ac:dyDescent="0.25">
      <c r="B182" t="s">
        <v>194</v>
      </c>
    </row>
    <row r="183" spans="2:2" x14ac:dyDescent="0.25">
      <c r="B183" t="s">
        <v>195</v>
      </c>
    </row>
    <row r="184" spans="2:2" x14ac:dyDescent="0.25">
      <c r="B184" t="s">
        <v>196</v>
      </c>
    </row>
    <row r="185" spans="2:2" x14ac:dyDescent="0.25">
      <c r="B185" t="s">
        <v>197</v>
      </c>
    </row>
    <row r="186" spans="2:2" x14ac:dyDescent="0.25">
      <c r="B186" t="s">
        <v>198</v>
      </c>
    </row>
    <row r="187" spans="2:2" x14ac:dyDescent="0.25">
      <c r="B187" t="s">
        <v>199</v>
      </c>
    </row>
    <row r="188" spans="2:2" x14ac:dyDescent="0.25">
      <c r="B188" t="s">
        <v>200</v>
      </c>
    </row>
    <row r="189" spans="2:2" x14ac:dyDescent="0.25">
      <c r="B189" t="s">
        <v>201</v>
      </c>
    </row>
    <row r="190" spans="2:2" x14ac:dyDescent="0.25">
      <c r="B190" t="s">
        <v>202</v>
      </c>
    </row>
    <row r="191" spans="2:2" x14ac:dyDescent="0.25">
      <c r="B191" t="s">
        <v>203</v>
      </c>
    </row>
    <row r="192" spans="2:2" x14ac:dyDescent="0.25">
      <c r="B192" t="s">
        <v>204</v>
      </c>
    </row>
    <row r="193" spans="2:2" x14ac:dyDescent="0.25">
      <c r="B193" t="s">
        <v>205</v>
      </c>
    </row>
    <row r="194" spans="2:2" x14ac:dyDescent="0.25">
      <c r="B194" t="s">
        <v>206</v>
      </c>
    </row>
    <row r="195" spans="2:2" x14ac:dyDescent="0.25">
      <c r="B195" t="s">
        <v>207</v>
      </c>
    </row>
    <row r="196" spans="2:2" x14ac:dyDescent="0.25">
      <c r="B196" t="s">
        <v>208</v>
      </c>
    </row>
    <row r="197" spans="2:2" x14ac:dyDescent="0.25">
      <c r="B197" t="s">
        <v>209</v>
      </c>
    </row>
    <row r="198" spans="2:2" x14ac:dyDescent="0.25">
      <c r="B198" t="s">
        <v>210</v>
      </c>
    </row>
    <row r="199" spans="2:2" x14ac:dyDescent="0.25">
      <c r="B199" t="s">
        <v>211</v>
      </c>
    </row>
    <row r="200" spans="2:2" x14ac:dyDescent="0.25">
      <c r="B200" t="s">
        <v>212</v>
      </c>
    </row>
    <row r="201" spans="2:2" x14ac:dyDescent="0.25">
      <c r="B201" t="s">
        <v>213</v>
      </c>
    </row>
    <row r="202" spans="2:2" x14ac:dyDescent="0.25">
      <c r="B202" t="s">
        <v>214</v>
      </c>
    </row>
    <row r="203" spans="2:2" x14ac:dyDescent="0.25">
      <c r="B203" t="s">
        <v>215</v>
      </c>
    </row>
    <row r="204" spans="2:2" x14ac:dyDescent="0.25">
      <c r="B204" t="s">
        <v>216</v>
      </c>
    </row>
    <row r="205" spans="2:2" x14ac:dyDescent="0.25">
      <c r="B205" t="s">
        <v>217</v>
      </c>
    </row>
    <row r="206" spans="2:2" x14ac:dyDescent="0.25">
      <c r="B206" t="s">
        <v>218</v>
      </c>
    </row>
    <row r="207" spans="2:2" x14ac:dyDescent="0.25">
      <c r="B207" t="s">
        <v>219</v>
      </c>
    </row>
    <row r="208" spans="2:2" x14ac:dyDescent="0.25">
      <c r="B208" t="s">
        <v>220</v>
      </c>
    </row>
    <row r="209" spans="2:2" x14ac:dyDescent="0.25">
      <c r="B209" t="s">
        <v>221</v>
      </c>
    </row>
    <row r="210" spans="2:2" x14ac:dyDescent="0.25">
      <c r="B210" t="s">
        <v>222</v>
      </c>
    </row>
    <row r="211" spans="2:2" x14ac:dyDescent="0.25">
      <c r="B211" t="s">
        <v>223</v>
      </c>
    </row>
    <row r="212" spans="2:2" x14ac:dyDescent="0.25">
      <c r="B212" t="s">
        <v>224</v>
      </c>
    </row>
    <row r="213" spans="2:2" x14ac:dyDescent="0.25">
      <c r="B213" t="s">
        <v>225</v>
      </c>
    </row>
    <row r="214" spans="2:2" x14ac:dyDescent="0.25">
      <c r="B214" t="s">
        <v>226</v>
      </c>
    </row>
    <row r="215" spans="2:2" x14ac:dyDescent="0.25">
      <c r="B215" t="s">
        <v>227</v>
      </c>
    </row>
    <row r="216" spans="2:2" x14ac:dyDescent="0.25">
      <c r="B216" t="s">
        <v>228</v>
      </c>
    </row>
    <row r="217" spans="2:2" x14ac:dyDescent="0.25">
      <c r="B217" t="s">
        <v>229</v>
      </c>
    </row>
    <row r="218" spans="2:2" x14ac:dyDescent="0.25">
      <c r="B218" t="s">
        <v>230</v>
      </c>
    </row>
    <row r="219" spans="2:2" x14ac:dyDescent="0.25">
      <c r="B219" t="s">
        <v>231</v>
      </c>
    </row>
    <row r="220" spans="2:2" x14ac:dyDescent="0.25">
      <c r="B220" t="s">
        <v>232</v>
      </c>
    </row>
    <row r="221" spans="2:2" x14ac:dyDescent="0.25">
      <c r="B221" t="s">
        <v>233</v>
      </c>
    </row>
    <row r="222" spans="2:2" x14ac:dyDescent="0.25">
      <c r="B222" t="s">
        <v>234</v>
      </c>
    </row>
    <row r="223" spans="2:2" x14ac:dyDescent="0.25">
      <c r="B223" t="s">
        <v>235</v>
      </c>
    </row>
    <row r="224" spans="2:2" x14ac:dyDescent="0.25">
      <c r="B224" t="s">
        <v>236</v>
      </c>
    </row>
    <row r="225" spans="2:2" x14ac:dyDescent="0.25">
      <c r="B225" t="s">
        <v>237</v>
      </c>
    </row>
    <row r="226" spans="2:2" x14ac:dyDescent="0.25">
      <c r="B226" t="s">
        <v>238</v>
      </c>
    </row>
    <row r="227" spans="2:2" x14ac:dyDescent="0.25">
      <c r="B227" t="s">
        <v>239</v>
      </c>
    </row>
    <row r="228" spans="2:2" x14ac:dyDescent="0.25">
      <c r="B228" t="s">
        <v>240</v>
      </c>
    </row>
    <row r="229" spans="2:2" x14ac:dyDescent="0.25">
      <c r="B229" t="s">
        <v>241</v>
      </c>
    </row>
    <row r="230" spans="2:2" x14ac:dyDescent="0.25">
      <c r="B230" t="s">
        <v>242</v>
      </c>
    </row>
    <row r="231" spans="2:2" x14ac:dyDescent="0.25">
      <c r="B231" t="s">
        <v>243</v>
      </c>
    </row>
    <row r="232" spans="2:2" x14ac:dyDescent="0.25">
      <c r="B232" t="s">
        <v>244</v>
      </c>
    </row>
    <row r="233" spans="2:2" x14ac:dyDescent="0.25">
      <c r="B233" t="s">
        <v>245</v>
      </c>
    </row>
    <row r="234" spans="2:2" x14ac:dyDescent="0.25">
      <c r="B234" t="s">
        <v>246</v>
      </c>
    </row>
    <row r="235" spans="2:2" x14ac:dyDescent="0.25">
      <c r="B235" t="s">
        <v>247</v>
      </c>
    </row>
    <row r="236" spans="2:2" x14ac:dyDescent="0.25">
      <c r="B236" t="s">
        <v>248</v>
      </c>
    </row>
    <row r="237" spans="2:2" x14ac:dyDescent="0.25">
      <c r="B237" t="s">
        <v>249</v>
      </c>
    </row>
    <row r="238" spans="2:2" x14ac:dyDescent="0.25">
      <c r="B238" t="s">
        <v>250</v>
      </c>
    </row>
    <row r="239" spans="2:2" x14ac:dyDescent="0.25">
      <c r="B239" t="s">
        <v>251</v>
      </c>
    </row>
    <row r="240" spans="2:2" x14ac:dyDescent="0.25">
      <c r="B240" t="s">
        <v>252</v>
      </c>
    </row>
    <row r="241" spans="2:2" x14ac:dyDescent="0.25">
      <c r="B241" t="s">
        <v>253</v>
      </c>
    </row>
    <row r="242" spans="2:2" x14ac:dyDescent="0.25">
      <c r="B242" t="s">
        <v>254</v>
      </c>
    </row>
    <row r="243" spans="2:2" x14ac:dyDescent="0.25">
      <c r="B243" t="s">
        <v>255</v>
      </c>
    </row>
    <row r="244" spans="2:2" x14ac:dyDescent="0.25">
      <c r="B244" t="s">
        <v>256</v>
      </c>
    </row>
    <row r="245" spans="2:2" x14ac:dyDescent="0.25">
      <c r="B245" t="s">
        <v>257</v>
      </c>
    </row>
    <row r="246" spans="2:2" x14ac:dyDescent="0.25">
      <c r="B246" t="s">
        <v>258</v>
      </c>
    </row>
    <row r="247" spans="2:2" x14ac:dyDescent="0.25">
      <c r="B247" t="s">
        <v>259</v>
      </c>
    </row>
    <row r="248" spans="2:2" x14ac:dyDescent="0.25">
      <c r="B248" t="s">
        <v>260</v>
      </c>
    </row>
    <row r="249" spans="2:2" x14ac:dyDescent="0.25">
      <c r="B249" t="s">
        <v>261</v>
      </c>
    </row>
    <row r="250" spans="2:2" x14ac:dyDescent="0.25">
      <c r="B250" t="s">
        <v>262</v>
      </c>
    </row>
    <row r="251" spans="2:2" x14ac:dyDescent="0.25">
      <c r="B251" t="s">
        <v>263</v>
      </c>
    </row>
    <row r="252" spans="2:2" x14ac:dyDescent="0.25">
      <c r="B252" t="s">
        <v>264</v>
      </c>
    </row>
    <row r="253" spans="2:2" x14ac:dyDescent="0.25">
      <c r="B253" t="s">
        <v>265</v>
      </c>
    </row>
    <row r="254" spans="2:2" x14ac:dyDescent="0.25">
      <c r="B254" t="s">
        <v>266</v>
      </c>
    </row>
    <row r="255" spans="2:2" x14ac:dyDescent="0.25">
      <c r="B255" t="s">
        <v>267</v>
      </c>
    </row>
    <row r="256" spans="2:2" x14ac:dyDescent="0.25">
      <c r="B256" t="s">
        <v>268</v>
      </c>
    </row>
    <row r="257" spans="2:2" x14ac:dyDescent="0.25">
      <c r="B257" t="s">
        <v>269</v>
      </c>
    </row>
    <row r="258" spans="2:2" x14ac:dyDescent="0.25">
      <c r="B258" t="s">
        <v>270</v>
      </c>
    </row>
    <row r="259" spans="2:2" x14ac:dyDescent="0.25">
      <c r="B259" t="s">
        <v>271</v>
      </c>
    </row>
    <row r="260" spans="2:2" x14ac:dyDescent="0.25">
      <c r="B260" t="s">
        <v>272</v>
      </c>
    </row>
    <row r="261" spans="2:2" x14ac:dyDescent="0.25">
      <c r="B261" t="s">
        <v>273</v>
      </c>
    </row>
    <row r="262" spans="2:2" x14ac:dyDescent="0.25">
      <c r="B262" t="s">
        <v>274</v>
      </c>
    </row>
    <row r="263" spans="2:2" x14ac:dyDescent="0.25">
      <c r="B263" t="s">
        <v>275</v>
      </c>
    </row>
    <row r="264" spans="2:2" x14ac:dyDescent="0.25">
      <c r="B264" t="s">
        <v>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boBox3">
          <controlPr defaultSize="0" autoLine="0" linkedCell="SEL_DIA" listFillRange="DEF_DIA" r:id="rId5">
            <anchor moveWithCells="1">
              <from>
                <xdr:col>3</xdr:col>
                <xdr:colOff>0</xdr:colOff>
                <xdr:row>20</xdr:row>
                <xdr:rowOff>0</xdr:rowOff>
              </from>
              <to>
                <xdr:col>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028" r:id="rId4" name="ComboBox3"/>
      </mc:Fallback>
    </mc:AlternateContent>
    <mc:AlternateContent xmlns:mc="http://schemas.openxmlformats.org/markup-compatibility/2006">
      <mc:Choice Requires="x14">
        <control shapeId="1027" r:id="rId6" name="ComboBox2">
          <controlPr defaultSize="0" autoLine="0" linkedCell="SEL_MES" listFillRange="DEF_MES" r:id="rId5">
            <anchor moveWithCells="1">
              <from>
                <xdr:col>2</xdr:col>
                <xdr:colOff>0</xdr:colOff>
                <xdr:row>20</xdr:row>
                <xdr:rowOff>0</xdr:rowOff>
              </from>
              <to>
                <xdr:col>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027" r:id="rId6" name="ComboBox2"/>
      </mc:Fallback>
    </mc:AlternateContent>
    <mc:AlternateContent xmlns:mc="http://schemas.openxmlformats.org/markup-compatibility/2006">
      <mc:Choice Requires="x14">
        <control shapeId="1026" r:id="rId7" name="ComboBox1">
          <controlPr defaultSize="0" autoLine="0" linkedCell="SEL_ANO" listFillRange="DEF_ANO" r:id="rId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026" r:id="rId7" name="ComboBox1"/>
      </mc:Fallback>
    </mc:AlternateContent>
    <mc:AlternateContent xmlns:mc="http://schemas.openxmlformats.org/markup-compatibility/2006">
      <mc:Choice Requires="x14">
        <control shapeId="1032" r:id="rId8" name="DEF_DUP">
          <controlPr defaultSize="0" autoFill="0" autoLine="0" autoPict="0">
            <anchor moveWithCells="1">
              <from>
                <xdr:col>12</xdr:col>
                <xdr:colOff>0</xdr:colOff>
                <xdr:row>29</xdr:row>
                <xdr:rowOff>0</xdr:rowOff>
              </from>
              <to>
                <xdr:col>14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DEF_UNI">
          <controlPr defaultSize="0" autoFill="0" autoLine="0" autoPict="0">
            <anchor moveWithCells="1">
              <from>
                <xdr:col>12</xdr:col>
                <xdr:colOff>0</xdr:colOff>
                <xdr:row>30</xdr:row>
                <xdr:rowOff>0</xdr:rowOff>
              </from>
              <to>
                <xdr:col>14</xdr:col>
                <xdr:colOff>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DEF_COL">
          <controlPr defaultSize="0" autoFill="0" autoLine="0" autoPict="0">
            <anchor moveWithCells="1">
              <from>
                <xdr:col>12</xdr:col>
                <xdr:colOff>0</xdr:colOff>
                <xdr:row>33</xdr:row>
                <xdr:rowOff>0</xdr:rowOff>
              </from>
              <to>
                <xdr:col>14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DEF_TIP">
          <controlPr defaultSize="0" autoFill="0" autoLine="0" autoPict="0">
            <anchor moveWithCells="1">
              <from>
                <xdr:col>12</xdr:col>
                <xdr:colOff>0</xdr:colOff>
                <xdr:row>34</xdr:row>
                <xdr:rowOff>0</xdr:rowOff>
              </from>
              <to>
                <xdr:col>14</xdr:col>
                <xdr:colOff>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DEF_TAM">
          <controlPr defaultSize="0" autoFill="0" autoLine="0" autoPict="0">
            <anchor moveWithCells="1">
              <from>
                <xdr:col>12</xdr:col>
                <xdr:colOff>0</xdr:colOff>
                <xdr:row>35</xdr:row>
                <xdr:rowOff>0</xdr:rowOff>
              </from>
              <to>
                <xdr:col>14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3" name="DEF_NUL">
          <controlPr defaultSize="0" autoFill="0" autoLine="0" autoPict="0">
            <anchor moveWithCells="1">
              <from>
                <xdr:col>12</xdr:col>
                <xdr:colOff>0</xdr:colOff>
                <xdr:row>36</xdr:row>
                <xdr:rowOff>0</xdr:rowOff>
              </from>
              <to>
                <xdr:col>14</xdr:col>
                <xdr:colOff>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4" name="DEF_VAL">
          <controlPr defaultSize="0" autoFill="0" autoLine="0" autoPict="0">
            <anchor moveWithCells="1">
              <from>
                <xdr:col>12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DEF_EXP">
          <controlPr defaultSize="0" autoFill="0" autoLine="0" autoPict="0">
            <anchor moveWithCells="1">
              <from>
                <xdr:col>12</xdr:col>
                <xdr:colOff>0</xdr:colOff>
                <xdr:row>24</xdr:row>
                <xdr:rowOff>0</xdr:rowOff>
              </from>
              <to>
                <xdr:col>14</xdr:col>
                <xdr:colOff>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DEF_SQL">
          <controlPr defaultSize="0" autoFill="0" autoLine="0" autoPict="0">
            <anchor moveWithCells="1">
              <from>
                <xdr:col>12</xdr:col>
                <xdr:colOff>0</xdr:colOff>
                <xdr:row>25</xdr:row>
                <xdr:rowOff>0</xdr:rowOff>
              </from>
              <to>
                <xdr:col>14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DEF_TMP">
          <controlPr defaultSize="0" autoFill="0" autoLine="0" autoPict="0">
            <anchor moveWithCells="1">
              <from>
                <xdr:col>12</xdr:col>
                <xdr:colOff>0</xdr:colOff>
                <xdr:row>26</xdr:row>
                <xdr:rowOff>0</xdr:rowOff>
              </from>
              <to>
                <xdr:col>14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UX"/>
  <dimension ref="A2:C32"/>
  <sheetViews>
    <sheetView workbookViewId="0">
      <selection activeCell="B16" sqref="B16"/>
    </sheetView>
  </sheetViews>
  <sheetFormatPr defaultRowHeight="15" x14ac:dyDescent="0.25"/>
  <cols>
    <col min="1" max="1" width="23.28515625" bestFit="1" customWidth="1"/>
    <col min="2" max="2" width="25.7109375" bestFit="1" customWidth="1"/>
  </cols>
  <sheetData>
    <row r="2" spans="1:3" x14ac:dyDescent="0.25">
      <c r="A2" t="str">
        <f t="shared" ref="A2:A32" si="0">TEXT(ROW()-ROW(DEF_DIA),"00")</f>
        <v>01</v>
      </c>
      <c r="B2" t="s">
        <v>7</v>
      </c>
      <c r="C2">
        <f ca="1">YEAR(TODAY())</f>
        <v>2022</v>
      </c>
    </row>
    <row r="3" spans="1:3" x14ac:dyDescent="0.25">
      <c r="A3" t="str">
        <f t="shared" si="0"/>
        <v>02</v>
      </c>
      <c r="B3" t="s">
        <v>8</v>
      </c>
      <c r="C3">
        <f ca="1">C2-1</f>
        <v>2021</v>
      </c>
    </row>
    <row r="4" spans="1:3" x14ac:dyDescent="0.25">
      <c r="A4" t="str">
        <f t="shared" si="0"/>
        <v>03</v>
      </c>
      <c r="B4" t="s">
        <v>9</v>
      </c>
      <c r="C4">
        <f t="shared" ref="C4:C13" ca="1" si="1">C3-1</f>
        <v>2020</v>
      </c>
    </row>
    <row r="5" spans="1:3" x14ac:dyDescent="0.25">
      <c r="A5" t="str">
        <f t="shared" si="0"/>
        <v>04</v>
      </c>
      <c r="B5" t="s">
        <v>10</v>
      </c>
      <c r="C5">
        <f t="shared" ca="1" si="1"/>
        <v>2019</v>
      </c>
    </row>
    <row r="6" spans="1:3" x14ac:dyDescent="0.25">
      <c r="A6" t="str">
        <f t="shared" si="0"/>
        <v>05</v>
      </c>
      <c r="B6" t="s">
        <v>11</v>
      </c>
      <c r="C6">
        <f t="shared" ca="1" si="1"/>
        <v>2018</v>
      </c>
    </row>
    <row r="7" spans="1:3" x14ac:dyDescent="0.25">
      <c r="A7" t="str">
        <f t="shared" si="0"/>
        <v>06</v>
      </c>
      <c r="B7" t="s">
        <v>12</v>
      </c>
      <c r="C7">
        <f t="shared" ca="1" si="1"/>
        <v>2017</v>
      </c>
    </row>
    <row r="8" spans="1:3" x14ac:dyDescent="0.25">
      <c r="A8" t="str">
        <f t="shared" si="0"/>
        <v>07</v>
      </c>
      <c r="B8" t="s">
        <v>13</v>
      </c>
      <c r="C8">
        <f t="shared" ca="1" si="1"/>
        <v>2016</v>
      </c>
    </row>
    <row r="9" spans="1:3" x14ac:dyDescent="0.25">
      <c r="A9" t="str">
        <f t="shared" si="0"/>
        <v>08</v>
      </c>
      <c r="B9" t="s">
        <v>14</v>
      </c>
      <c r="C9">
        <f t="shared" ca="1" si="1"/>
        <v>2015</v>
      </c>
    </row>
    <row r="10" spans="1:3" x14ac:dyDescent="0.25">
      <c r="A10" t="str">
        <f t="shared" si="0"/>
        <v>09</v>
      </c>
      <c r="B10" t="s">
        <v>15</v>
      </c>
      <c r="C10">
        <f t="shared" ca="1" si="1"/>
        <v>2014</v>
      </c>
    </row>
    <row r="11" spans="1:3" x14ac:dyDescent="0.25">
      <c r="A11" t="str">
        <f t="shared" si="0"/>
        <v>10</v>
      </c>
      <c r="B11" t="s">
        <v>16</v>
      </c>
      <c r="C11">
        <f t="shared" ca="1" si="1"/>
        <v>2013</v>
      </c>
    </row>
    <row r="12" spans="1:3" x14ac:dyDescent="0.25">
      <c r="A12" t="str">
        <f t="shared" si="0"/>
        <v>11</v>
      </c>
      <c r="B12" t="s">
        <v>17</v>
      </c>
      <c r="C12">
        <f t="shared" ca="1" si="1"/>
        <v>2012</v>
      </c>
    </row>
    <row r="13" spans="1:3" x14ac:dyDescent="0.25">
      <c r="A13" t="str">
        <f t="shared" si="0"/>
        <v>12</v>
      </c>
      <c r="B13" t="s">
        <v>18</v>
      </c>
      <c r="C13">
        <f t="shared" ca="1" si="1"/>
        <v>2011</v>
      </c>
    </row>
    <row r="14" spans="1:3" x14ac:dyDescent="0.25">
      <c r="A14" t="str">
        <f t="shared" si="0"/>
        <v>13</v>
      </c>
    </row>
    <row r="15" spans="1:3" x14ac:dyDescent="0.25">
      <c r="A15" t="str">
        <f t="shared" si="0"/>
        <v>14</v>
      </c>
    </row>
    <row r="16" spans="1:3" x14ac:dyDescent="0.25">
      <c r="A16" t="str">
        <f t="shared" si="0"/>
        <v>15</v>
      </c>
      <c r="B16" t="s">
        <v>21</v>
      </c>
      <c r="C16" t="s">
        <v>21</v>
      </c>
    </row>
    <row r="17" spans="1:2" x14ac:dyDescent="0.25">
      <c r="A17" t="str">
        <f t="shared" si="0"/>
        <v>16</v>
      </c>
      <c r="B17" t="str">
        <f>IFERROR(TEXT(MATCH(SEL_MES,DEF_MES,0)-1,"00"),"")</f>
        <v/>
      </c>
    </row>
    <row r="18" spans="1:2" x14ac:dyDescent="0.25">
      <c r="A18" t="str">
        <f t="shared" si="0"/>
        <v>17</v>
      </c>
      <c r="B18" t="str">
        <f>IF(SEL_ANO="","","\"&amp;SEL_ANO)&amp;IF(SEL_MES="","","\"&amp;B17)&amp;IF(SEL_DIA="","","\"&amp;SEL_DIA)</f>
        <v/>
      </c>
    </row>
    <row r="19" spans="1:2" x14ac:dyDescent="0.25">
      <c r="A19" t="str">
        <f t="shared" si="0"/>
        <v>18</v>
      </c>
      <c r="B19" t="str">
        <f>IF(SEL_ANO="","","\"&amp;SEL_ANO)&amp;IF(SEL_MES="","","-"&amp;B17)&amp;IF(DEF_REF="","","_")</f>
        <v/>
      </c>
    </row>
    <row r="20" spans="1:2" x14ac:dyDescent="0.25">
      <c r="A20" t="str">
        <f t="shared" si="0"/>
        <v>19</v>
      </c>
    </row>
    <row r="21" spans="1:2" x14ac:dyDescent="0.25">
      <c r="A21" t="str">
        <f t="shared" si="0"/>
        <v>20</v>
      </c>
    </row>
    <row r="22" spans="1:2" x14ac:dyDescent="0.25">
      <c r="A22" t="str">
        <f t="shared" si="0"/>
        <v>21</v>
      </c>
    </row>
    <row r="23" spans="1:2" x14ac:dyDescent="0.25">
      <c r="A23" t="str">
        <f t="shared" si="0"/>
        <v>22</v>
      </c>
    </row>
    <row r="24" spans="1:2" x14ac:dyDescent="0.25">
      <c r="A24" t="str">
        <f t="shared" si="0"/>
        <v>23</v>
      </c>
    </row>
    <row r="25" spans="1:2" x14ac:dyDescent="0.25">
      <c r="A25" t="str">
        <f t="shared" si="0"/>
        <v>24</v>
      </c>
    </row>
    <row r="26" spans="1:2" x14ac:dyDescent="0.25">
      <c r="A26" t="str">
        <f t="shared" si="0"/>
        <v>25</v>
      </c>
    </row>
    <row r="27" spans="1:2" x14ac:dyDescent="0.25">
      <c r="A27" t="str">
        <f t="shared" si="0"/>
        <v>26</v>
      </c>
    </row>
    <row r="28" spans="1:2" x14ac:dyDescent="0.25">
      <c r="A28" t="str">
        <f t="shared" si="0"/>
        <v>27</v>
      </c>
    </row>
    <row r="29" spans="1:2" x14ac:dyDescent="0.25">
      <c r="A29" t="str">
        <f t="shared" si="0"/>
        <v>28</v>
      </c>
    </row>
    <row r="30" spans="1:2" x14ac:dyDescent="0.25">
      <c r="A30" t="str">
        <f t="shared" si="0"/>
        <v>29</v>
      </c>
    </row>
    <row r="31" spans="1:2" x14ac:dyDescent="0.25">
      <c r="A31" t="str">
        <f t="shared" si="0"/>
        <v>30</v>
      </c>
    </row>
    <row r="32" spans="1:2" x14ac:dyDescent="0.25">
      <c r="A32" t="str">
        <f t="shared" si="0"/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19</vt:i4>
      </vt:variant>
    </vt:vector>
  </HeadingPairs>
  <TitlesOfParts>
    <vt:vector size="21" baseType="lpstr">
      <vt:lpstr>Home</vt:lpstr>
      <vt:lpstr>AUX</vt:lpstr>
      <vt:lpstr>DEF_ANO</vt:lpstr>
      <vt:lpstr>DEF_COL</vt:lpstr>
      <vt:lpstr>DEF_DATA</vt:lpstr>
      <vt:lpstr>DEF_DIA</vt:lpstr>
      <vt:lpstr>DEF_DUP</vt:lpstr>
      <vt:lpstr>DEF_EXP</vt:lpstr>
      <vt:lpstr>DEF_MES</vt:lpstr>
      <vt:lpstr>DEF_NUL</vt:lpstr>
      <vt:lpstr>DEF_PRE</vt:lpstr>
      <vt:lpstr>DEF_REF</vt:lpstr>
      <vt:lpstr>DEF_SQL</vt:lpstr>
      <vt:lpstr>DEF_TAM</vt:lpstr>
      <vt:lpstr>DEF_TIP</vt:lpstr>
      <vt:lpstr>DEF_TMP</vt:lpstr>
      <vt:lpstr>DEF_UNI</vt:lpstr>
      <vt:lpstr>DEF_VAL</vt:lpstr>
      <vt:lpstr>SEL_ANO</vt:lpstr>
      <vt:lpstr>SEL_DIA</vt:lpstr>
      <vt:lpstr>SEL_MES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de Castro</dc:creator>
  <cp:lastModifiedBy>Luiz Henrique de Castro Silva</cp:lastModifiedBy>
  <dcterms:created xsi:type="dcterms:W3CDTF">2021-12-05T19:49:18Z</dcterms:created>
  <dcterms:modified xsi:type="dcterms:W3CDTF">2022-07-27T00:00:13Z</dcterms:modified>
</cp:coreProperties>
</file>